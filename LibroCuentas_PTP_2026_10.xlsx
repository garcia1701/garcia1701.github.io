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gistro 2026" sheetId="1" state="visible" r:id="rId3"/>
    <sheet name="Resumen Anual" sheetId="2" state="visible" r:id="rId4"/>
    <sheet name="Socios y Cuotas" sheetId="3" state="visible" r:id="rId5"/>
    <sheet name="Ticket Cena" sheetId="4" state="visible" r:id="rId6"/>
    <sheet name="Tickets Compra" sheetId="5" state="visible" r:id="rId7"/>
    <sheet name="Ticket Papelería" sheetId="6" state="visible" r:id="rId8"/>
    <sheet name="Factura Entrad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<sst xmlns="http://schemas.openxmlformats.org/spreadsheetml/2006/main" count="161" uniqueCount="110">
  <si>
    <t xml:space="preserve">PEÑA TAURINA PEGUERINOS</t>
  </si>
  <si>
    <t xml:space="preserve">Ávila, Castilla y León  ·  Libro de Ingresos y Gastos</t>
  </si>
  <si>
    <t xml:space="preserve">Ejercicio 2026</t>
  </si>
  <si>
    <t xml:space="preserve">FECHA</t>
  </si>
  <si>
    <t xml:space="preserve">CONCEPTO</t>
  </si>
  <si>
    <t xml:space="preserve">CATEGORÍA / NOTAS</t>
  </si>
  <si>
    <t xml:space="preserve">INGRESO (€)</t>
  </si>
  <si>
    <t xml:space="preserve">GASTO (€)</t>
  </si>
  <si>
    <t xml:space="preserve">cuota semestral socios</t>
  </si>
  <si>
    <t xml:space="preserve">suscripcion canal tv y cesion de local</t>
  </si>
  <si>
    <t xml:space="preserve">colaboracion socio</t>
  </si>
  <si>
    <t xml:space="preserve">reunion cena de  convivencia</t>
  </si>
  <si>
    <t xml:space="preserve">🧾 Ver Ticket Cena</t>
  </si>
  <si>
    <t xml:space="preserve">dotacion camisetas y pañoletas</t>
  </si>
  <si>
    <t xml:space="preserve">compras cena inaugural</t>
  </si>
  <si>
    <t xml:space="preserve">🧾 Ver Ticket Compras (2)</t>
  </si>
  <si>
    <t xml:space="preserve">tarjetas boligrafos</t>
  </si>
  <si>
    <t xml:space="preserve">Venta Loteria</t>
  </si>
  <si>
    <t xml:space="preserve">Material papelería</t>
  </si>
  <si>
    <t xml:space="preserve">Material · 🧾 Ver Ticket Papelería</t>
  </si>
  <si>
    <t xml:space="preserve">Venta Lotería</t>
  </si>
  <si>
    <t xml:space="preserve">compra de entradas</t>
  </si>
  <si>
    <t xml:space="preserve">🧾 Ver Factura Entradas</t>
  </si>
  <si>
    <t xml:space="preserve">Devolución entrada</t>
  </si>
  <si>
    <t xml:space="preserve">Pago toro de fuego</t>
  </si>
  <si>
    <t xml:space="preserve">Cuota semestral socios (septiembre)</t>
  </si>
  <si>
    <t xml:space="preserve">13 de 16 socios</t>
  </si>
  <si>
    <t xml:space="preserve">José Carlos García Pozo</t>
  </si>
  <si>
    <t xml:space="preserve">José Antonio Gálvez</t>
  </si>
  <si>
    <t xml:space="preserve">📊 TOTAL PARCIAL</t>
  </si>
  <si>
    <t xml:space="preserve">TOTALES</t>
  </si>
  <si>
    <t xml:space="preserve">SALDO (Ingresos - Gastos)</t>
  </si>
  <si>
    <t xml:space="preserve">📥 Total Ingresos</t>
  </si>
  <si>
    <t xml:space="preserve">📤 Total Gastos</t>
  </si>
  <si>
    <t xml:space="preserve">PEÑA TAURINA PEGUERINOS — RESUMEN ANUAL</t>
  </si>
  <si>
    <t xml:space="preserve">CATEGORÍA</t>
  </si>
  <si>
    <t xml:space="preserve">INGRESOS (€)</t>
  </si>
  <si>
    <t xml:space="preserve">GASTOS (€)</t>
  </si>
  <si>
    <t xml:space="preserve">SALDO (€)</t>
  </si>
  <si>
    <t xml:space="preserve">Cuotas socios</t>
  </si>
  <si>
    <t xml:space="preserve">Lotería</t>
  </si>
  <si>
    <t xml:space="preserve">Cenas y convivencias</t>
  </si>
  <si>
    <t xml:space="preserve">Entradas corrida (y devolución)</t>
  </si>
  <si>
    <t xml:space="preserve">Toro de fuego</t>
  </si>
  <si>
    <t xml:space="preserve">Otros</t>
  </si>
  <si>
    <t xml:space="preserve">TOTAL</t>
  </si>
  <si>
    <t xml:space="preserve">PEÑA TAURINA PEGUERINOS — CONTROL DE CUOTAS</t>
  </si>
  <si>
    <t xml:space="preserve">Cuota anual: 100 € en dos plazos de 50 € (marzo y septiembre)</t>
  </si>
  <si>
    <t xml:space="preserve">Nº</t>
  </si>
  <si>
    <t xml:space="preserve">NOMBRE Y APELLIDOS</t>
  </si>
  <si>
    <t xml:space="preserve">1.er PLAZO
Marzo</t>
  </si>
  <si>
    <t xml:space="preserve">PAGADO
Marzo</t>
  </si>
  <si>
    <t xml:space="preserve">2.º PLAZO
Septiembre</t>
  </si>
  <si>
    <t xml:space="preserve">PAGADO
Sept.</t>
  </si>
  <si>
    <t xml:space="preserve">ESTADO</t>
  </si>
  <si>
    <t xml:space="preserve">Miguel Ángel Rodríguez Fariña</t>
  </si>
  <si>
    <t xml:space="preserve">Sí</t>
  </si>
  <si>
    <t xml:space="preserve">Daniel Álvarez García</t>
  </si>
  <si>
    <t xml:space="preserve">Joaquín Rodríguez Fariña</t>
  </si>
  <si>
    <t xml:space="preserve">Juan Fernando Casado Tormo</t>
  </si>
  <si>
    <t xml:space="preserve">Félix Rodríguez</t>
  </si>
  <si>
    <t xml:space="preserve">Jaime Vila-Coro Laviña</t>
  </si>
  <si>
    <t xml:space="preserve">José Luis Cañaveral-Fernández</t>
  </si>
  <si>
    <t xml:space="preserve">Alejandro Tanarro García</t>
  </si>
  <si>
    <t xml:space="preserve">Luis Alfonso García</t>
  </si>
  <si>
    <t xml:space="preserve">José Miguel Cañaveral-Fernández Santos</t>
  </si>
  <si>
    <t xml:space="preserve">Alfonso Rilo</t>
  </si>
  <si>
    <t xml:space="preserve">Sergio Monge Gómez</t>
  </si>
  <si>
    <t xml:space="preserve">Jose Antonio Galvez</t>
  </si>
  <si>
    <t xml:space="preserve">Victor Perez</t>
  </si>
  <si>
    <t xml:space="preserve">Antonio Rosado</t>
  </si>
  <si>
    <t xml:space="preserve">No</t>
  </si>
  <si>
    <t xml:space="preserve">TOTAL RECAUDADO</t>
  </si>
  <si>
    <t xml:space="preserve">SOCIOS SIMPATIZANTES</t>
  </si>
  <si>
    <t xml:space="preserve">Aportación voluntaria de apoyo a la Peña, cuota distinta a la de socio de número</t>
  </si>
  <si>
    <t xml:space="preserve">CUOTA ANUAL (€)</t>
  </si>
  <si>
    <t xml:space="preserve">PAGADO</t>
  </si>
  <si>
    <t xml:space="preserve">FECHA PAGO</t>
  </si>
  <si>
    <t xml:space="preserve">NOTAS</t>
  </si>
  <si>
    <t xml:space="preserve">Carlos Herranz</t>
  </si>
  <si>
    <t xml:space="preserve">📷 Ticket Cena — Mesón El Risco del Águila (25/03/2026)</t>
  </si>
  <si>
    <t xml:space="preserve">Importe: 147,43 €</t>
  </si>
  <si>
    <t xml:space="preserve">📷 Tickets Compra — Carnicería Las Navas + Lupa (25/04/2026)</t>
  </si>
  <si>
    <t xml:space="preserve">Carnicería: 58,03 €  |  Lupa: 66,08 €  |  Total: 124,11 €</t>
  </si>
  <si>
    <t xml:space="preserve">📷 Ticket Papelería — Global Soluciones Gráficas SL (22/05/2026)</t>
  </si>
  <si>
    <t xml:space="preserve">Importe: 30,00 €  |  Base imp.: 24,79 €  |  IVA (21%): 5,21 €  |  Factura: FT 0002/064504</t>
  </si>
  <si>
    <t xml:space="preserve">FACTURA - ENTRADA CORRIDA DE TOROS</t>
  </si>
  <si>
    <t xml:space="preserve">Fecha:</t>
  </si>
  <si>
    <t xml:space="preserve">15/06/2026</t>
  </si>
  <si>
    <t xml:space="preserve">Email:</t>
  </si>
  <si>
    <t xml:space="preserve">garcia1701@gmail.com</t>
  </si>
  <si>
    <t xml:space="preserve">Localizador:</t>
  </si>
  <si>
    <t xml:space="preserve">GP020030</t>
  </si>
  <si>
    <t xml:space="preserve">EVENTO</t>
  </si>
  <si>
    <t xml:space="preserve">Tipo: Corrida de Toros</t>
  </si>
  <si>
    <t xml:space="preserve">Fecha: Sábado, 20 de junio de 2026, 19:00h</t>
  </si>
  <si>
    <t xml:space="preserve">Lugar: Plaza de Toros de Ávila</t>
  </si>
  <si>
    <t xml:space="preserve">Dirección: Carretera Burgohondo, 13</t>
  </si>
  <si>
    <t xml:space="preserve">ENTRADAS</t>
  </si>
  <si>
    <t xml:space="preserve">Cantidad: 8 entradas</t>
  </si>
  <si>
    <t xml:space="preserve">Tendido: Tendido 9, Fila 12</t>
  </si>
  <si>
    <t xml:space="preserve">Asientos: 16, 17, 18, 19, 20, 21, 22, 23</t>
  </si>
  <si>
    <t xml:space="preserve">Tarifa: GENERAL - 35,00€ c/u</t>
  </si>
  <si>
    <t xml:space="preserve">RESUMEN ECONÓMICO</t>
  </si>
  <si>
    <t xml:space="preserve">Precio base (8 x 35€):</t>
  </si>
  <si>
    <t xml:space="preserve">Gastos de gestión:</t>
  </si>
  <si>
    <t xml:space="preserve">TOTAL:</t>
  </si>
  <si>
    <t xml:space="preserve">Número de Pedido: 2306n45A91UW</t>
  </si>
  <si>
    <t xml:space="preserve">Autorización: 355901</t>
  </si>
  <si>
    <t xml:space="preserve">Comercio: 347434433-001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</si>
</sst>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"/>
    <numFmt numFmtId="167" formatCode="m/d/yyyy"/>
    <numFmt numFmtId="168" formatCode="General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7A0000"/>
      <name val="Arial"/>
      <family val="0"/>
      <charset val="1"/>
    </font>
    <font>
      <i val="true"/>
      <sz val="11"/>
      <color rgb="FFC9A227"/>
      <name val="Arial"/>
      <family val="0"/>
      <charset val="1"/>
    </font>
    <font>
      <b val="true"/>
      <sz val="12"/>
      <color rgb="FF7A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1"/>
      <color rgb="FF0070C0"/>
      <name val="Calibri"/>
      <family val="2"/>
      <charset val="1"/>
    </font>
    <font>
      <b val="true"/>
      <sz val="10"/>
      <color rgb="FF00B050"/>
      <name val="Arial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0"/>
      <color rgb="FF990000"/>
      <name val="Arial"/>
      <family val="0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990000"/>
      <name val="Cambria"/>
      <family val="0"/>
      <charset val="1"/>
    </font>
    <font>
      <b val="true"/>
      <sz val="11"/>
      <color rgb="FF003399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0070C0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6B00"/>
      <name val="Cambria"/>
      <family val="0"/>
      <charset val="1"/>
    </font>
    <font>
      <b val="true"/>
      <sz val="11"/>
      <color rgb="FF9B0000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7A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i val="true"/>
      <sz val="11"/>
      <color rgb="FF7A0000"/>
      <name val="Arial"/>
      <family val="0"/>
      <charset val="1"/>
    </font>
    <font>
      <sz val="11"/>
      <color rgb="FF003399"/>
      <name val="Cambria"/>
      <family val="0"/>
      <charset val="1"/>
    </font>
    <font>
      <sz val="11"/>
      <color rgb="FF003399"/>
      <name val="Calibri"/>
      <family val="0"/>
      <charset val="1"/>
    </font>
    <font>
      <sz val="11"/>
      <name val="Cambria"/>
      <family val="0"/>
      <charset val="1"/>
    </font>
    <font>
      <sz val="11"/>
      <color rgb="FF990000"/>
      <name val="Cambria"/>
      <family val="0"/>
      <charset val="1"/>
    </font>
    <font>
      <sz val="11"/>
      <color rgb="FF990000"/>
      <name val="Calibri"/>
      <family val="0"/>
      <charset val="1"/>
    </font>
    <font>
      <i val="true"/>
      <sz val="10"/>
      <color rgb="FF7A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7A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7A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3"/>
      <color rgb="FF7A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5F0E8"/>
        <bgColor rgb="FFF0E8D0"/>
      </patternFill>
    </fill>
    <fill>
      <patternFill patternType="solid">
        <fgColor rgb="FF7A0000"/>
        <bgColor rgb="FF990000"/>
      </patternFill>
    </fill>
    <fill>
      <patternFill patternType="solid">
        <fgColor rgb="FFF0D080"/>
        <bgColor rgb="FFF0E8D0"/>
      </patternFill>
    </fill>
    <fill>
      <patternFill patternType="solid">
        <fgColor rgb="FFDDEEFF"/>
        <bgColor rgb="FFF5F0E8"/>
      </patternFill>
    </fill>
    <fill>
      <patternFill patternType="solid">
        <fgColor rgb="FFFFDDDD"/>
        <bgColor rgb="FFF0E8D0"/>
      </patternFill>
    </fill>
    <fill>
      <patternFill patternType="solid">
        <fgColor rgb="FFF0E8D0"/>
        <bgColor rgb="FFF5F0E8"/>
      </patternFill>
    </fill>
    <fill>
      <patternFill patternType="solid">
        <fgColor rgb="FFA00000"/>
        <bgColor rgb="FF9B0000"/>
      </patternFill>
    </fill>
    <fill>
      <patternFill patternType="solid">
        <fgColor rgb="FFFFFFFF"/>
        <bgColor rgb="FFF5F0E8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>
        <color rgb="FF7A0000"/>
      </left>
      <right style="medium">
        <color rgb="FF7A0000"/>
      </right>
      <top style="medium">
        <color rgb="FF7A0000"/>
      </top>
      <bottom style="medium">
        <color rgb="FF7A0000"/>
      </bottom>
      <diagonal/>
    </border>
    <border diagonalUp="false" diagonalDown="false">
      <left/>
      <right/>
      <top style="medium">
        <color rgb="FF7A0000"/>
      </top>
      <bottom style="medium">
        <color rgb="FF7A0000"/>
      </bottom>
      <diagonal/>
    </border>
    <border diagonalUp="false" diagonalDown="false">
      <left/>
      <right style="medium">
        <color rgb="FF7A0000"/>
      </right>
      <top style="medium">
        <color rgb="FF7A0000"/>
      </top>
      <bottom style="medium">
        <color rgb="FF7A0000"/>
      </bottom>
      <diagonal/>
    </border>
    <border diagonalUp="false" diagonalDown="false">
      <left/>
      <right/>
      <top style="thin">
        <color rgb="FFC9A227"/>
      </top>
      <bottom style="thin">
        <color rgb="FFC9A227"/>
      </bottom>
      <diagonal/>
    </border>
    <border diagonalUp="false" diagonalDown="false">
      <left/>
      <right style="thin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1F6B00"/>
      <rgbColor rgb="FF000080"/>
      <rgbColor rgb="FF808000"/>
      <rgbColor rgb="FFA00000"/>
      <rgbColor rgb="FF008080"/>
      <rgbColor rgb="FFC0C0C0"/>
      <rgbColor rgb="FF808080"/>
      <rgbColor rgb="FF9999FF"/>
      <rgbColor rgb="FF993366"/>
      <rgbColor rgb="FFF5F0E8"/>
      <rgbColor rgb="FFDDEEFF"/>
      <rgbColor rgb="FF660066"/>
      <rgbColor rgb="FFFF8080"/>
      <rgbColor rgb="FF0070C0"/>
      <rgbColor rgb="FFFFDDDD"/>
      <rgbColor rgb="FF000080"/>
      <rgbColor rgb="FFFF00FF"/>
      <rgbColor rgb="FFFFFF00"/>
      <rgbColor rgb="FF00FFFF"/>
      <rgbColor rgb="FF800080"/>
      <rgbColor rgb="FF990000"/>
      <rgbColor rgb="FF008080"/>
      <rgbColor rgb="FF0000FF"/>
      <rgbColor rgb="FF00CCFF"/>
      <rgbColor rgb="FFCCFFFF"/>
      <rgbColor rgb="FFF0E8D0"/>
      <rgbColor rgb="FFFFFF99"/>
      <rgbColor rgb="FF99CCFF"/>
      <rgbColor rgb="FFFF99CC"/>
      <rgbColor rgb="FFCC99FF"/>
      <rgbColor rgb="FFF0D080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99"/>
      <rgbColor rgb="FF00B050"/>
      <rgbColor rgb="FF003300"/>
      <rgbColor rgb="FF333300"/>
      <rgbColor rgb="FF9B0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0</xdr:col>
      <xdr:colOff>3319920</xdr:colOff>
      <xdr:row>6</xdr:row>
      <xdr:rowOff>119880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00120"/>
          <a:ext cx="3319920" cy="570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</xdr:col>
      <xdr:colOff>62640</xdr:colOff>
      <xdr:row>3</xdr:row>
      <xdr:rowOff>4748760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600120"/>
          <a:ext cx="5701320" cy="4748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176040</xdr:rowOff>
    </xdr:from>
    <xdr:to>
      <xdr:col>0</xdr:col>
      <xdr:colOff>3609360</xdr:colOff>
      <xdr:row>3</xdr:row>
      <xdr:rowOff>4737960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566640"/>
          <a:ext cx="3609360" cy="475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icket_1y2.pn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6" activeCellId="0" sqref="C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true" outlineLevel="0" max="6" min="6" style="1" width="30"/>
  </cols>
  <sheetData>
    <row r="1" customFormat="false" ht="6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7.5" hidden="false" customHeight="true" outlineLevel="0" collapsed="false"/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/>
    </row>
    <row r="6" s="10" customFormat="true" ht="19.5" hidden="false" customHeight="true" outlineLevel="0" collapsed="false">
      <c r="A6" s="6" t="n">
        <v>46093</v>
      </c>
      <c r="B6" s="7" t="s">
        <v>8</v>
      </c>
      <c r="C6" s="8"/>
      <c r="D6" s="9" t="n">
        <v>800</v>
      </c>
      <c r="E6" s="9"/>
      <c r="F6" s="7"/>
    </row>
    <row r="7" s="15" customFormat="true" ht="19.5" hidden="false" customHeight="true" outlineLevel="0" collapsed="false">
      <c r="A7" s="11" t="n">
        <v>46100</v>
      </c>
      <c r="B7" s="12" t="s">
        <v>9</v>
      </c>
      <c r="C7" s="13" t="s">
        <v>10</v>
      </c>
      <c r="D7" s="14"/>
      <c r="E7" s="14"/>
      <c r="F7" s="12"/>
    </row>
    <row r="8" s="20" customFormat="true" ht="19.5" hidden="false" customHeight="true" outlineLevel="0" collapsed="false">
      <c r="A8" s="16" t="n">
        <v>46106</v>
      </c>
      <c r="B8" s="17" t="s">
        <v>11</v>
      </c>
      <c r="C8" s="18" t="s">
        <v>12</v>
      </c>
      <c r="D8" s="19"/>
      <c r="E8" s="19" t="n">
        <v>150</v>
      </c>
      <c r="F8" s="17"/>
    </row>
    <row r="9" s="15" customFormat="true" ht="19.5" hidden="false" customHeight="true" outlineLevel="0" collapsed="false">
      <c r="A9" s="11" t="n">
        <v>46134</v>
      </c>
      <c r="B9" s="12" t="s">
        <v>13</v>
      </c>
      <c r="C9" s="13" t="s">
        <v>10</v>
      </c>
      <c r="D9" s="14"/>
      <c r="E9" s="14"/>
      <c r="F9" s="12"/>
    </row>
    <row r="10" s="20" customFormat="true" ht="19.5" hidden="false" customHeight="true" outlineLevel="0" collapsed="false">
      <c r="A10" s="16" t="n">
        <v>46138</v>
      </c>
      <c r="B10" s="17" t="s">
        <v>14</v>
      </c>
      <c r="C10" s="18" t="s">
        <v>15</v>
      </c>
      <c r="D10" s="19"/>
      <c r="E10" s="19" t="n">
        <v>130</v>
      </c>
      <c r="F10" s="17"/>
    </row>
    <row r="11" s="15" customFormat="true" ht="19.5" hidden="false" customHeight="true" outlineLevel="0" collapsed="false">
      <c r="A11" s="11" t="n">
        <v>46139</v>
      </c>
      <c r="B11" s="12" t="s">
        <v>16</v>
      </c>
      <c r="C11" s="13" t="s">
        <v>10</v>
      </c>
      <c r="D11" s="14"/>
      <c r="E11" s="14"/>
      <c r="F11" s="12"/>
    </row>
    <row r="12" s="21" customFormat="true" ht="19.5" hidden="false" customHeight="true" outlineLevel="0" collapsed="false">
      <c r="A12" s="6" t="n">
        <v>46158</v>
      </c>
      <c r="B12" s="7" t="s">
        <v>17</v>
      </c>
      <c r="C12" s="8"/>
      <c r="D12" s="9" t="n">
        <v>27.5</v>
      </c>
      <c r="E12" s="9"/>
      <c r="F12" s="7"/>
    </row>
    <row r="13" customFormat="false" ht="19.5" hidden="false" customHeight="true" outlineLevel="0" collapsed="false">
      <c r="A13" s="22" t="n">
        <v>46164</v>
      </c>
      <c r="B13" s="23" t="s">
        <v>18</v>
      </c>
      <c r="C13" s="24" t="s">
        <v>19</v>
      </c>
      <c r="D13" s="25"/>
      <c r="E13" s="25" t="n">
        <v>30</v>
      </c>
      <c r="F13" s="23"/>
    </row>
    <row r="14" customFormat="false" ht="19.5" hidden="false" customHeight="true" outlineLevel="0" collapsed="false">
      <c r="A14" s="26" t="n">
        <v>46172</v>
      </c>
      <c r="B14" s="27" t="s">
        <v>20</v>
      </c>
      <c r="C14" s="8"/>
      <c r="D14" s="28" t="n">
        <v>57</v>
      </c>
      <c r="E14" s="9"/>
      <c r="F14" s="7"/>
    </row>
    <row r="15" customFormat="false" ht="19.5" hidden="false" customHeight="true" outlineLevel="0" collapsed="false">
      <c r="A15" s="6" t="n">
        <v>46182</v>
      </c>
      <c r="B15" s="7" t="s">
        <v>20</v>
      </c>
      <c r="C15" s="8"/>
      <c r="D15" s="9" t="n">
        <v>23.5</v>
      </c>
      <c r="E15" s="9"/>
      <c r="F15" s="7"/>
    </row>
    <row r="16" customFormat="false" ht="19.5" hidden="false" customHeight="true" outlineLevel="0" collapsed="false">
      <c r="A16" s="29" t="n">
        <v>46188</v>
      </c>
      <c r="B16" s="30" t="s">
        <v>21</v>
      </c>
      <c r="C16" s="30" t="s">
        <v>22</v>
      </c>
      <c r="D16" s="31"/>
      <c r="E16" s="32" t="n">
        <v>308</v>
      </c>
    </row>
    <row r="17" customFormat="false" ht="19.5" hidden="false" customHeight="true" outlineLevel="0" collapsed="false">
      <c r="A17" s="6" t="n">
        <v>46191</v>
      </c>
      <c r="B17" s="7" t="s">
        <v>20</v>
      </c>
      <c r="C17" s="8"/>
      <c r="D17" s="9" t="n">
        <v>30</v>
      </c>
      <c r="E17" s="9"/>
      <c r="F17" s="7"/>
    </row>
    <row r="18" customFormat="false" ht="19.5" hidden="false" customHeight="true" outlineLevel="0" collapsed="false">
      <c r="A18" s="33" t="n">
        <v>46197</v>
      </c>
      <c r="B18" s="34" t="s">
        <v>20</v>
      </c>
      <c r="C18" s="34"/>
      <c r="D18" s="35" t="n">
        <v>30</v>
      </c>
      <c r="E18" s="34"/>
    </row>
    <row r="19" customFormat="false" ht="19.5" hidden="false" customHeight="true" outlineLevel="0" collapsed="false">
      <c r="A19" s="33" t="n">
        <v>46197</v>
      </c>
      <c r="B19" s="34" t="s">
        <v>23</v>
      </c>
      <c r="C19" s="34"/>
      <c r="D19" s="35" t="n">
        <v>40</v>
      </c>
      <c r="E19" s="34"/>
    </row>
    <row r="20" customFormat="false" ht="19.5" hidden="false" customHeight="true" outlineLevel="0" collapsed="false">
      <c r="A20" s="33" t="n">
        <v>46207</v>
      </c>
      <c r="B20" s="34" t="s">
        <v>20</v>
      </c>
      <c r="C20" s="34"/>
      <c r="D20" s="35" t="n">
        <v>52</v>
      </c>
      <c r="E20" s="34"/>
    </row>
    <row r="21" customFormat="false" ht="19.5" hidden="false" customHeight="true" outlineLevel="0" collapsed="false">
      <c r="A21" s="33" t="n">
        <v>46218</v>
      </c>
      <c r="B21" s="34" t="s">
        <v>20</v>
      </c>
      <c r="C21" s="34"/>
      <c r="D21" s="35" t="n">
        <v>20.5</v>
      </c>
      <c r="E21" s="34"/>
    </row>
    <row r="22" customFormat="false" ht="19.5" hidden="false" customHeight="true" outlineLevel="0" collapsed="false">
      <c r="A22" s="33" t="n">
        <v>46222</v>
      </c>
      <c r="B22" s="34" t="s">
        <v>20</v>
      </c>
      <c r="C22" s="34"/>
      <c r="D22" s="35" t="n">
        <v>34</v>
      </c>
      <c r="E22" s="34"/>
    </row>
    <row r="23" customFormat="false" ht="19.5" hidden="false" customHeight="true" outlineLevel="0" collapsed="false">
      <c r="A23" s="33" t="n">
        <v>46244</v>
      </c>
      <c r="B23" s="34" t="s">
        <v>20</v>
      </c>
      <c r="C23" s="34"/>
      <c r="D23" s="35" t="n">
        <v>83</v>
      </c>
      <c r="E23" s="34"/>
    </row>
    <row r="24" customFormat="false" ht="19.5" hidden="false" customHeight="true" outlineLevel="0" collapsed="false">
      <c r="A24" s="16" t="n">
        <v>46249</v>
      </c>
      <c r="B24" s="17" t="s">
        <v>24</v>
      </c>
      <c r="C24" s="18"/>
      <c r="D24" s="19"/>
      <c r="E24" s="19" t="n">
        <v>100</v>
      </c>
    </row>
    <row r="25" customFormat="false" ht="19.5" hidden="false" customHeight="true" outlineLevel="0" collapsed="false">
      <c r="A25" s="33" t="n">
        <v>46256</v>
      </c>
      <c r="B25" s="34" t="s">
        <v>20</v>
      </c>
      <c r="C25" s="34"/>
      <c r="D25" s="35" t="n">
        <v>34</v>
      </c>
      <c r="E25" s="34"/>
    </row>
    <row r="26" customFormat="false" ht="19.5" hidden="false" customHeight="true" outlineLevel="0" collapsed="false">
      <c r="A26" s="33" t="n">
        <v>46263</v>
      </c>
      <c r="B26" s="34" t="s">
        <v>20</v>
      </c>
      <c r="C26" s="34"/>
      <c r="D26" s="35" t="n">
        <v>34</v>
      </c>
      <c r="E26" s="34"/>
    </row>
    <row r="27" customFormat="false" ht="19.5" hidden="false" customHeight="true" outlineLevel="0" collapsed="false">
      <c r="A27" s="33" t="n">
        <v>46270</v>
      </c>
      <c r="B27" s="34" t="s">
        <v>20</v>
      </c>
      <c r="C27" s="34"/>
      <c r="D27" s="35" t="n">
        <v>29</v>
      </c>
      <c r="E27" s="34"/>
    </row>
    <row r="28" customFormat="false" ht="19.5" hidden="false" customHeight="true" outlineLevel="0" collapsed="false">
      <c r="A28" s="33" t="n">
        <v>46277</v>
      </c>
      <c r="B28" s="34" t="s">
        <v>25</v>
      </c>
      <c r="C28" s="34" t="s">
        <v>26</v>
      </c>
      <c r="D28" s="35" t="n">
        <v>650</v>
      </c>
      <c r="E28" s="34"/>
    </row>
    <row r="29" customFormat="false" ht="19.5" hidden="false" customHeight="true" outlineLevel="0" collapsed="false">
      <c r="A29" s="33" t="n">
        <v>46291</v>
      </c>
      <c r="B29" s="34" t="s">
        <v>25</v>
      </c>
      <c r="C29" s="34" t="s">
        <v>27</v>
      </c>
      <c r="D29" s="35" t="n">
        <v>50</v>
      </c>
      <c r="E29" s="34"/>
    </row>
    <row r="30" customFormat="false" ht="19.5" hidden="false" customHeight="true" outlineLevel="0" collapsed="false">
      <c r="A30" s="33" t="n">
        <v>46291</v>
      </c>
      <c r="B30" s="34" t="s">
        <v>25</v>
      </c>
      <c r="C30" s="34" t="s">
        <v>28</v>
      </c>
      <c r="D30" s="35" t="n">
        <v>50</v>
      </c>
      <c r="E30" s="34"/>
    </row>
    <row r="31" customFormat="false" ht="19.5" hidden="false" customHeight="true" outlineLevel="0" collapsed="false">
      <c r="A31" s="36" t="s">
        <v>29</v>
      </c>
      <c r="B31" s="36"/>
      <c r="C31" s="36"/>
      <c r="D31" s="37" t="n">
        <f aca="false">SUM(D6:D30)</f>
        <v>2044.5</v>
      </c>
      <c r="E31" s="38" t="n">
        <f aca="false">SUM(E6:E30)</f>
        <v>718</v>
      </c>
      <c r="F31" s="39" t="n">
        <f aca="false">D31-E31</f>
        <v>1326.5</v>
      </c>
    </row>
    <row r="32" customFormat="false" ht="19.5" hidden="false" customHeight="true" outlineLevel="0" collapsed="false">
      <c r="A32" s="40"/>
      <c r="B32" s="40"/>
      <c r="C32" s="40"/>
      <c r="D32" s="41"/>
      <c r="E32" s="41"/>
      <c r="F32" s="42"/>
    </row>
    <row r="33" customFormat="false" ht="19.5" hidden="false" customHeight="true" outlineLevel="0" collapsed="false">
      <c r="A33" s="43" t="s">
        <v>30</v>
      </c>
      <c r="B33" s="44"/>
      <c r="C33" s="45"/>
      <c r="D33" s="46" t="n">
        <f aca="false">SUM(D6:D30)</f>
        <v>2044.5</v>
      </c>
      <c r="E33" s="46" t="n">
        <f aca="false">SUM(E6:E30)</f>
        <v>718</v>
      </c>
      <c r="F33" s="47" t="n">
        <f aca="false">D33-E33</f>
        <v>1326.5</v>
      </c>
    </row>
    <row r="34" customFormat="false" ht="19.5" hidden="false" customHeight="true" outlineLevel="0" collapsed="false">
      <c r="A34" s="48" t="s">
        <v>31</v>
      </c>
      <c r="B34" s="49"/>
      <c r="C34" s="50"/>
      <c r="D34" s="51"/>
      <c r="E34" s="51"/>
      <c r="F34" s="52" t="n">
        <f aca="false">D33-E33</f>
        <v>1326.5</v>
      </c>
    </row>
    <row r="35" customFormat="false" ht="19.5" hidden="false" customHeight="true" outlineLevel="0" collapsed="false">
      <c r="A35" s="43" t="s">
        <v>32</v>
      </c>
      <c r="B35" s="44"/>
      <c r="C35" s="45"/>
      <c r="D35" s="46" t="n">
        <f aca="false">D33</f>
        <v>2044.5</v>
      </c>
      <c r="E35" s="53" t="n">
        <f aca="false">E33</f>
        <v>718</v>
      </c>
      <c r="F35" s="54"/>
    </row>
    <row r="36" customFormat="false" ht="19.5" hidden="false" customHeight="true" outlineLevel="0" collapsed="false">
      <c r="A36" s="43" t="s">
        <v>33</v>
      </c>
      <c r="B36" s="44"/>
      <c r="C36" s="45"/>
      <c r="D36" s="53"/>
      <c r="E36" s="46" t="n">
        <f aca="false">E31</f>
        <v>718</v>
      </c>
      <c r="F36" s="54"/>
    </row>
    <row r="37" customFormat="false" ht="19.5" hidden="false" customHeight="true" outlineLevel="0" collapsed="false">
      <c r="A37" s="40"/>
      <c r="B37" s="42"/>
      <c r="C37" s="55"/>
      <c r="D37" s="41"/>
      <c r="E37" s="41"/>
      <c r="F37" s="42"/>
    </row>
    <row r="38" customFormat="false" ht="19.5" hidden="false" customHeight="true" outlineLevel="0" collapsed="false">
      <c r="A38" s="40"/>
      <c r="B38" s="42"/>
      <c r="C38" s="55"/>
      <c r="D38" s="41"/>
      <c r="E38" s="41"/>
      <c r="F38" s="42"/>
    </row>
    <row r="39" customFormat="false" ht="19.5" hidden="false" customHeight="true" outlineLevel="0" collapsed="false">
      <c r="A39" s="40"/>
      <c r="B39" s="42"/>
      <c r="C39" s="55"/>
      <c r="D39" s="41"/>
      <c r="E39" s="41"/>
      <c r="F39" s="42"/>
    </row>
    <row r="40" customFormat="false" ht="19.5" hidden="false" customHeight="true" outlineLevel="0" collapsed="false">
      <c r="A40" s="40"/>
      <c r="B40" s="42"/>
      <c r="C40" s="55"/>
      <c r="D40" s="41"/>
      <c r="E40" s="41"/>
      <c r="F40" s="42"/>
    </row>
    <row r="41" customFormat="false" ht="19.5" hidden="false" customHeight="true" outlineLevel="0" collapsed="false">
      <c r="A41" s="40"/>
      <c r="B41" s="42"/>
      <c r="C41" s="55"/>
      <c r="D41" s="41"/>
      <c r="E41" s="41"/>
      <c r="F41" s="42"/>
    </row>
    <row r="42" customFormat="false" ht="19.5" hidden="false" customHeight="true" outlineLevel="0" collapsed="false">
      <c r="A42" s="40"/>
      <c r="B42" s="42"/>
      <c r="C42" s="55"/>
      <c r="D42" s="41"/>
      <c r="E42" s="41"/>
      <c r="F42" s="42"/>
    </row>
    <row r="43" customFormat="false" ht="19.5" hidden="false" customHeight="true" outlineLevel="0" collapsed="false">
      <c r="A43" s="40"/>
      <c r="B43" s="42"/>
      <c r="C43" s="55"/>
      <c r="D43" s="41"/>
      <c r="E43" s="41"/>
      <c r="F43" s="42"/>
    </row>
    <row r="44" customFormat="false" ht="19.5" hidden="false" customHeight="true" outlineLevel="0" collapsed="false">
      <c r="A44" s="40"/>
      <c r="B44" s="42"/>
      <c r="C44" s="55"/>
      <c r="D44" s="41"/>
      <c r="E44" s="41"/>
      <c r="F44" s="42"/>
    </row>
    <row r="45" customFormat="false" ht="19.5" hidden="false" customHeight="true" outlineLevel="0" collapsed="false">
      <c r="A45" s="40"/>
      <c r="B45" s="42"/>
      <c r="C45" s="55"/>
      <c r="D45" s="41"/>
      <c r="E45" s="41"/>
      <c r="F45" s="42"/>
    </row>
    <row r="46" customFormat="false" ht="7.5" hidden="false" customHeight="true" outlineLevel="0" collapsed="false">
      <c r="A46" s="40"/>
      <c r="B46" s="42"/>
      <c r="C46" s="55"/>
      <c r="D46" s="41"/>
      <c r="E46" s="41"/>
      <c r="F46" s="42"/>
    </row>
    <row r="47" customFormat="false" ht="27.75" hidden="false" customHeight="true" outlineLevel="0" collapsed="false">
      <c r="A47" s="40"/>
      <c r="B47" s="42"/>
      <c r="C47" s="55"/>
      <c r="D47" s="41"/>
      <c r="E47" s="41"/>
      <c r="F47" s="42"/>
    </row>
    <row r="48" customFormat="false" ht="15.75" hidden="false" customHeight="true" outlineLevel="0" collapsed="false">
      <c r="A48" s="40"/>
      <c r="B48" s="42"/>
      <c r="C48" s="55"/>
      <c r="D48" s="41"/>
      <c r="E48" s="41"/>
      <c r="F48" s="42"/>
    </row>
    <row r="49" customFormat="false" ht="15" hidden="false" customHeight="true" outlineLevel="0" collapsed="false">
      <c r="A49" s="40"/>
      <c r="B49" s="42"/>
      <c r="C49" s="55"/>
      <c r="D49" s="41"/>
      <c r="E49" s="41"/>
      <c r="F49" s="42"/>
    </row>
    <row r="50" customFormat="false" ht="15" hidden="false" customHeight="true" outlineLevel="0" collapsed="false">
      <c r="A50" s="40"/>
      <c r="B50" s="42"/>
      <c r="C50" s="55"/>
      <c r="D50" s="41"/>
      <c r="E50" s="41"/>
      <c r="F50" s="42"/>
    </row>
    <row r="51" customFormat="false" ht="15" hidden="false" customHeight="true" outlineLevel="0" collapsed="false">
      <c r="A51" s="40"/>
      <c r="B51" s="42"/>
      <c r="C51" s="55"/>
      <c r="D51" s="41"/>
      <c r="E51" s="41"/>
      <c r="F51" s="42"/>
    </row>
    <row r="52" customFormat="false" ht="15" hidden="false" customHeight="true" outlineLevel="0" collapsed="false">
      <c r="A52" s="40"/>
      <c r="B52" s="42"/>
      <c r="C52" s="55"/>
      <c r="D52" s="41"/>
      <c r="E52" s="41"/>
      <c r="F52" s="42"/>
    </row>
    <row r="53" customFormat="false" ht="15" hidden="false" customHeight="true" outlineLevel="0" collapsed="false">
      <c r="A53" s="56"/>
      <c r="B53" s="57"/>
      <c r="C53" s="58"/>
      <c r="D53" s="51"/>
      <c r="E53" s="51"/>
      <c r="F53" s="57"/>
    </row>
    <row r="54" customFormat="false" ht="15" hidden="false" customHeight="true" outlineLevel="0" collapsed="false">
      <c r="A54" s="59"/>
      <c r="B54" s="44"/>
      <c r="C54" s="45"/>
      <c r="D54" s="53"/>
      <c r="E54" s="53"/>
      <c r="F54" s="54"/>
    </row>
    <row r="55" customFormat="false" ht="15" hidden="false" customHeight="true" outlineLevel="0" collapsed="false">
      <c r="A55" s="60"/>
      <c r="B55" s="57"/>
      <c r="C55" s="58"/>
      <c r="D55" s="51"/>
      <c r="E55" s="51"/>
      <c r="F55" s="61"/>
    </row>
    <row r="56" customFormat="false" ht="15" hidden="false" customHeight="true" outlineLevel="0" collapsed="false">
      <c r="A56" s="62"/>
      <c r="B56" s="44"/>
      <c r="C56" s="45"/>
      <c r="D56" s="63"/>
      <c r="E56" s="53"/>
      <c r="F56" s="54"/>
    </row>
    <row r="57" customFormat="false" ht="15" hidden="false" customHeight="true" outlineLevel="0" collapsed="false">
      <c r="A57" s="64"/>
      <c r="D57" s="53"/>
      <c r="E57" s="65"/>
      <c r="F57" s="54"/>
    </row>
    <row r="58" customFormat="false" ht="15" hidden="false" customHeight="true" outlineLevel="0" collapsed="false">
      <c r="A58" s="66"/>
      <c r="D58" s="67"/>
      <c r="E58" s="67"/>
      <c r="F58" s="68"/>
    </row>
    <row r="59" customFormat="false" ht="15" hidden="false" customHeight="true" outlineLevel="0" collapsed="false">
      <c r="A59" s="56"/>
      <c r="B59" s="49"/>
      <c r="C59" s="50"/>
      <c r="D59" s="51"/>
      <c r="E59" s="51"/>
      <c r="F59" s="57"/>
    </row>
    <row r="60" customFormat="false" ht="15" hidden="false" customHeight="true" outlineLevel="0" collapsed="false"/>
    <row r="61" customFormat="false" ht="15" hidden="false" customHeight="true" outlineLevel="0" collapsed="false">
      <c r="A61" s="69"/>
      <c r="B61" s="44"/>
      <c r="C61" s="45"/>
      <c r="D61" s="53"/>
      <c r="E61" s="53"/>
      <c r="F61" s="70"/>
    </row>
    <row r="62" customFormat="false" ht="15" hidden="false" customHeight="true" outlineLevel="0" collapsed="false">
      <c r="A62" s="71"/>
      <c r="B62" s="49"/>
      <c r="C62" s="50"/>
      <c r="F62" s="72"/>
    </row>
  </sheetData>
  <mergeCells count="5">
    <mergeCell ref="A1:F1"/>
    <mergeCell ref="A2:F2"/>
    <mergeCell ref="A3:F3"/>
    <mergeCell ref="A31:C31"/>
    <mergeCell ref="A32:C32"/>
  </mergeCells>
  <hyperlinks>
    <hyperlink ref="C8" location="'Ticket Cena'!A1" display="🧾 Ver Ticket Cena"/>
    <hyperlink ref="C10" r:id="rId1" display="🧾 Ver Ticket Compras (2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</cols>
  <sheetData>
    <row r="1" customFormat="false" ht="60" hidden="false" customHeight="true" outlineLevel="0" collapsed="false">
      <c r="A1" s="73" t="s">
        <v>34</v>
      </c>
      <c r="B1" s="73"/>
      <c r="C1" s="73"/>
      <c r="D1" s="73"/>
    </row>
    <row r="2" customFormat="false" ht="21.75" hidden="false" customHeight="true" outlineLevel="0" collapsed="false">
      <c r="A2" s="74" t="s">
        <v>2</v>
      </c>
      <c r="B2" s="74"/>
      <c r="C2" s="74"/>
      <c r="D2" s="74"/>
    </row>
    <row r="3" customFormat="false" ht="7.5" hidden="false" customHeight="true" outlineLevel="0" collapsed="false"/>
    <row r="4" customFormat="false" ht="27.75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</row>
    <row r="5" customFormat="false" ht="21.75" hidden="false" customHeight="true" outlineLevel="0" collapsed="false">
      <c r="A5" s="75" t="s">
        <v>39</v>
      </c>
      <c r="B5" s="76" t="n">
        <f aca="false">SUMIF('Registro 2026'!B6:B30,"Cuota*",'Registro 2026'!D6:D30)</f>
        <v>1550</v>
      </c>
      <c r="C5" s="76" t="n">
        <v>0</v>
      </c>
      <c r="D5" s="76" t="n">
        <f aca="false">B5-C5</f>
        <v>1550</v>
      </c>
      <c r="E5" s="77"/>
      <c r="F5" s="77"/>
    </row>
    <row r="6" customFormat="false" ht="21.75" hidden="false" customHeight="true" outlineLevel="0" collapsed="false">
      <c r="A6" s="75" t="s">
        <v>40</v>
      </c>
      <c r="B6" s="76" t="n">
        <f aca="false">SUMIF('Registro 2026'!B6:B30,"Venta Loter?a",'Registro 2026'!D6:D30)</f>
        <v>454.5</v>
      </c>
      <c r="C6" s="76" t="n">
        <v>0</v>
      </c>
      <c r="D6" s="76" t="n">
        <f aca="false">B6-C6</f>
        <v>454.5</v>
      </c>
      <c r="E6" s="77"/>
      <c r="F6" s="77"/>
    </row>
    <row r="7" customFormat="false" ht="21.75" hidden="false" customHeight="true" outlineLevel="0" collapsed="false">
      <c r="A7" s="78" t="s">
        <v>41</v>
      </c>
      <c r="B7" s="79" t="n">
        <v>0</v>
      </c>
      <c r="C7" s="79" t="n">
        <f aca="false">'Registro 2026'!E8+'Registro 2026'!E10</f>
        <v>280</v>
      </c>
      <c r="D7" s="79" t="n">
        <f aca="false">B7-C7</f>
        <v>-280</v>
      </c>
    </row>
    <row r="8" customFormat="false" ht="21.75" hidden="false" customHeight="true" outlineLevel="0" collapsed="false">
      <c r="A8" s="78" t="s">
        <v>18</v>
      </c>
      <c r="B8" s="79" t="n">
        <v>0</v>
      </c>
      <c r="C8" s="79" t="n">
        <f aca="false">SUMIF('Registro 2026'!B6:B30,"Material*",'Registro 2026'!E6:E30)</f>
        <v>30</v>
      </c>
      <c r="D8" s="79" t="n">
        <f aca="false">B8-C8</f>
        <v>-30</v>
      </c>
    </row>
    <row r="9" customFormat="false" ht="21.75" hidden="false" customHeight="true" outlineLevel="0" collapsed="false">
      <c r="A9" s="80" t="s">
        <v>42</v>
      </c>
      <c r="B9" s="81" t="n">
        <f aca="false">SUMIF('Registro 2026'!B6:B30,"Devoluci?n entrada",'Registro 2026'!D6:D30)</f>
        <v>40</v>
      </c>
      <c r="C9" s="81" t="n">
        <f aca="false">SUMIF('Registro 2026'!B6:B30,"compra de entradas",'Registro 2026'!E6:E30)</f>
        <v>308</v>
      </c>
      <c r="D9" s="81" t="n">
        <f aca="false">B9-C9</f>
        <v>-268</v>
      </c>
      <c r="E9" s="82"/>
      <c r="F9" s="82"/>
    </row>
    <row r="10" customFormat="false" ht="21.75" hidden="false" customHeight="true" outlineLevel="0" collapsed="false">
      <c r="A10" s="75" t="s">
        <v>43</v>
      </c>
      <c r="B10" s="76" t="n">
        <v>0</v>
      </c>
      <c r="C10" s="76" t="n">
        <f aca="false">SUMIF('Registro 2026'!B6:B30,"Pago toro de fuego",'Registro 2026'!E6:E30)</f>
        <v>100</v>
      </c>
      <c r="D10" s="76" t="n">
        <f aca="false">B10-C10</f>
        <v>-100</v>
      </c>
      <c r="E10" s="77"/>
      <c r="F10" s="77"/>
    </row>
    <row r="11" customFormat="false" ht="21.75" hidden="false" customHeight="true" outlineLevel="0" collapsed="false">
      <c r="A11" s="78" t="s">
        <v>44</v>
      </c>
      <c r="B11" s="79" t="n">
        <v>0</v>
      </c>
      <c r="C11" s="79" t="n">
        <v>0</v>
      </c>
      <c r="D11" s="79" t="n">
        <f aca="false">B11-C11</f>
        <v>0</v>
      </c>
    </row>
    <row r="12" customFormat="false" ht="27.75" hidden="false" customHeight="true" outlineLevel="0" collapsed="false">
      <c r="A12" s="83" t="s">
        <v>45</v>
      </c>
      <c r="B12" s="53" t="n">
        <f aca="false">SUM(B5:B11)</f>
        <v>2044.5</v>
      </c>
      <c r="C12" s="53" t="n">
        <f aca="false">SUM(C5:C11)</f>
        <v>718</v>
      </c>
      <c r="D12" s="53" t="n">
        <f aca="false">B12-C12</f>
        <v>1326.5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16"/>
  </cols>
  <sheetData>
    <row r="1" customFormat="false" ht="60" hidden="false" customHeight="true" outlineLevel="0" collapsed="false">
      <c r="A1" s="73" t="s">
        <v>46</v>
      </c>
      <c r="B1" s="73"/>
      <c r="C1" s="73"/>
      <c r="D1" s="73"/>
      <c r="E1" s="73"/>
      <c r="F1" s="73"/>
      <c r="G1" s="73"/>
    </row>
    <row r="2" customFormat="false" ht="21.75" hidden="false" customHeight="true" outlineLevel="0" collapsed="false">
      <c r="A2" s="84" t="s">
        <v>47</v>
      </c>
      <c r="B2" s="84"/>
      <c r="C2" s="84"/>
      <c r="D2" s="84"/>
      <c r="E2" s="84"/>
      <c r="F2" s="84"/>
      <c r="G2" s="84"/>
    </row>
    <row r="3" customFormat="false" ht="7.5" hidden="false" customHeight="true" outlineLevel="0" collapsed="false"/>
    <row r="4" customFormat="false" ht="30" hidden="false" customHeight="true" outlineLevel="0" collapsed="false">
      <c r="A4" s="85" t="s">
        <v>48</v>
      </c>
      <c r="B4" s="85" t="s">
        <v>49</v>
      </c>
      <c r="C4" s="85" t="s">
        <v>50</v>
      </c>
      <c r="D4" s="85" t="s">
        <v>51</v>
      </c>
      <c r="E4" s="85" t="s">
        <v>52</v>
      </c>
      <c r="F4" s="85" t="s">
        <v>53</v>
      </c>
      <c r="G4" s="86" t="s">
        <v>54</v>
      </c>
    </row>
    <row r="5" customFormat="false" ht="21.75" hidden="false" customHeight="true" outlineLevel="0" collapsed="false">
      <c r="A5" s="87" t="n">
        <v>1</v>
      </c>
      <c r="B5" s="88" t="s">
        <v>55</v>
      </c>
      <c r="C5" s="89" t="n">
        <v>50</v>
      </c>
      <c r="D5" s="90" t="s">
        <v>56</v>
      </c>
      <c r="E5" s="89" t="n">
        <v>50</v>
      </c>
      <c r="F5" s="91" t="s">
        <v>56</v>
      </c>
      <c r="G5" s="92" t="str">
        <f aca="false">IF(AND(D5="Sí",F5="Sí"),"Al día","Pendiente")</f>
        <v>Al día</v>
      </c>
    </row>
    <row r="6" customFormat="false" ht="21.75" hidden="false" customHeight="true" outlineLevel="0" collapsed="false">
      <c r="A6" s="87" t="n">
        <v>2</v>
      </c>
      <c r="B6" s="88"/>
      <c r="C6" s="89"/>
      <c r="D6" s="90"/>
      <c r="E6" s="89"/>
      <c r="F6" s="91"/>
      <c r="G6" s="92"/>
    </row>
    <row r="7" customFormat="false" ht="21.75" hidden="false" customHeight="true" outlineLevel="0" collapsed="false">
      <c r="A7" s="93" t="n">
        <v>3</v>
      </c>
      <c r="B7" s="94" t="s">
        <v>57</v>
      </c>
      <c r="C7" s="95" t="n">
        <v>50</v>
      </c>
      <c r="D7" s="96" t="s">
        <v>56</v>
      </c>
      <c r="E7" s="95" t="n">
        <v>50</v>
      </c>
      <c r="F7" s="91" t="s">
        <v>56</v>
      </c>
      <c r="G7" s="97" t="str">
        <f aca="false">IF(AND(D7="Sí",F7="Sí"),"Al día","Pendiente")</f>
        <v>Al día</v>
      </c>
    </row>
    <row r="8" customFormat="false" ht="21.75" hidden="false" customHeight="true" outlineLevel="0" collapsed="false">
      <c r="A8" s="87" t="n">
        <v>4</v>
      </c>
      <c r="B8" s="88" t="s">
        <v>58</v>
      </c>
      <c r="C8" s="89" t="n">
        <v>50</v>
      </c>
      <c r="D8" s="90" t="s">
        <v>56</v>
      </c>
      <c r="E8" s="89" t="n">
        <v>50</v>
      </c>
      <c r="F8" s="91" t="s">
        <v>56</v>
      </c>
      <c r="G8" s="92" t="str">
        <f aca="false">IF(AND(D8="Sí",F8="Sí"),"Al día","Pendiente")</f>
        <v>Al día</v>
      </c>
    </row>
    <row r="9" customFormat="false" ht="21.75" hidden="false" customHeight="true" outlineLevel="0" collapsed="false">
      <c r="A9" s="93" t="n">
        <v>5</v>
      </c>
      <c r="B9" s="94" t="s">
        <v>59</v>
      </c>
      <c r="C9" s="95" t="n">
        <v>50</v>
      </c>
      <c r="D9" s="96" t="s">
        <v>56</v>
      </c>
      <c r="E9" s="95" t="n">
        <v>50</v>
      </c>
      <c r="F9" s="98" t="s">
        <v>56</v>
      </c>
      <c r="G9" s="97" t="str">
        <f aca="false">IF(AND(D9="Sí",F9="Sí"),"Al día","Pendiente")</f>
        <v>Al día</v>
      </c>
    </row>
    <row r="10" customFormat="false" ht="21.75" hidden="false" customHeight="true" outlineLevel="0" collapsed="false">
      <c r="A10" s="87" t="n">
        <v>6</v>
      </c>
      <c r="B10" s="88" t="s">
        <v>60</v>
      </c>
      <c r="C10" s="89" t="n">
        <v>50</v>
      </c>
      <c r="D10" s="90" t="s">
        <v>56</v>
      </c>
      <c r="E10" s="89" t="n">
        <v>50</v>
      </c>
      <c r="F10" s="91" t="s">
        <v>56</v>
      </c>
      <c r="G10" s="92" t="str">
        <f aca="false">IF(AND(D10="Sí",F10="Sí"),"Al día","Pendiente")</f>
        <v>Al día</v>
      </c>
    </row>
    <row r="11" customFormat="false" ht="21.75" hidden="false" customHeight="true" outlineLevel="0" collapsed="false">
      <c r="A11" s="93" t="n">
        <v>7</v>
      </c>
      <c r="B11" s="94" t="s">
        <v>27</v>
      </c>
      <c r="C11" s="95" t="n">
        <v>50</v>
      </c>
      <c r="D11" s="96" t="s">
        <v>56</v>
      </c>
      <c r="E11" s="95" t="n">
        <v>50</v>
      </c>
      <c r="F11" s="98" t="s">
        <v>56</v>
      </c>
      <c r="G11" s="97" t="str">
        <f aca="false">IF(AND(D11="Sí",F11="Sí"),"Al día","Pendiente")</f>
        <v>Al día</v>
      </c>
    </row>
    <row r="12" customFormat="false" ht="21.75" hidden="false" customHeight="true" outlineLevel="0" collapsed="false">
      <c r="A12" s="87" t="n">
        <v>8</v>
      </c>
      <c r="B12" s="88" t="s">
        <v>61</v>
      </c>
      <c r="C12" s="89" t="n">
        <v>50</v>
      </c>
      <c r="D12" s="90" t="s">
        <v>56</v>
      </c>
      <c r="E12" s="89" t="n">
        <v>50</v>
      </c>
      <c r="F12" s="91" t="s">
        <v>56</v>
      </c>
      <c r="G12" s="92" t="str">
        <f aca="false">IF(AND(D12="Sí",F12="Sí"),"Al día","Pendiente")</f>
        <v>Al día</v>
      </c>
    </row>
    <row r="13" customFormat="false" ht="21.75" hidden="false" customHeight="true" outlineLevel="0" collapsed="false">
      <c r="A13" s="93" t="n">
        <v>9</v>
      </c>
      <c r="B13" s="94" t="s">
        <v>62</v>
      </c>
      <c r="C13" s="95" t="n">
        <v>50</v>
      </c>
      <c r="D13" s="96" t="s">
        <v>56</v>
      </c>
      <c r="E13" s="95" t="n">
        <v>50</v>
      </c>
      <c r="F13" s="98" t="s">
        <v>56</v>
      </c>
      <c r="G13" s="97" t="str">
        <f aca="false">IF(AND(D13="Sí",F13="Sí"),"Al día","Pendiente")</f>
        <v>Al día</v>
      </c>
    </row>
    <row r="14" customFormat="false" ht="21.75" hidden="false" customHeight="true" outlineLevel="0" collapsed="false">
      <c r="A14" s="87" t="n">
        <v>10</v>
      </c>
      <c r="B14" s="88" t="s">
        <v>63</v>
      </c>
      <c r="C14" s="89" t="n">
        <v>50</v>
      </c>
      <c r="D14" s="90" t="s">
        <v>56</v>
      </c>
      <c r="E14" s="89" t="n">
        <v>50</v>
      </c>
      <c r="F14" s="91" t="s">
        <v>56</v>
      </c>
      <c r="G14" s="92" t="str">
        <f aca="false">IF(AND(D14="Sí",F14="Sí"),"Al día","Pendiente")</f>
        <v>Al día</v>
      </c>
    </row>
    <row r="15" customFormat="false" ht="21.75" hidden="false" customHeight="true" outlineLevel="0" collapsed="false">
      <c r="A15" s="93" t="n">
        <v>11</v>
      </c>
      <c r="B15" s="94" t="s">
        <v>64</v>
      </c>
      <c r="C15" s="95" t="n">
        <v>50</v>
      </c>
      <c r="D15" s="96" t="s">
        <v>56</v>
      </c>
      <c r="E15" s="95" t="n">
        <v>50</v>
      </c>
      <c r="F15" s="98" t="s">
        <v>56</v>
      </c>
      <c r="G15" s="97" t="str">
        <f aca="false">IF(AND(D15="Sí",F15="Sí"),"Al día","Pendiente")</f>
        <v>Al día</v>
      </c>
    </row>
    <row r="16" customFormat="false" ht="21.75" hidden="false" customHeight="true" outlineLevel="0" collapsed="false">
      <c r="A16" s="87" t="n">
        <v>12</v>
      </c>
      <c r="B16" s="88" t="s">
        <v>65</v>
      </c>
      <c r="C16" s="89" t="n">
        <v>50</v>
      </c>
      <c r="D16" s="91" t="s">
        <v>56</v>
      </c>
      <c r="E16" s="89" t="n">
        <v>50</v>
      </c>
      <c r="F16" s="91" t="s">
        <v>56</v>
      </c>
      <c r="G16" s="92" t="str">
        <f aca="false">IF(AND(D16="Sí",F16="Sí"),"Al día","Pendiente")</f>
        <v>Al día</v>
      </c>
    </row>
    <row r="17" customFormat="false" ht="21.75" hidden="false" customHeight="true" outlineLevel="0" collapsed="false">
      <c r="A17" s="87" t="n">
        <v>13</v>
      </c>
      <c r="B17" s="99" t="s">
        <v>66</v>
      </c>
      <c r="C17" s="100" t="n">
        <v>50</v>
      </c>
      <c r="D17" s="101" t="s">
        <v>56</v>
      </c>
      <c r="E17" s="100" t="n">
        <v>50</v>
      </c>
      <c r="F17" s="101" t="s">
        <v>56</v>
      </c>
      <c r="G17" s="102" t="str">
        <f aca="false">IF(AND(D17="Sí",F17="Sí"),"Al día","Pendiente")</f>
        <v>Al día</v>
      </c>
    </row>
    <row r="18" customFormat="false" ht="21.75" hidden="false" customHeight="true" outlineLevel="0" collapsed="false">
      <c r="A18" s="93" t="n">
        <v>14</v>
      </c>
      <c r="B18" s="103" t="s">
        <v>67</v>
      </c>
      <c r="C18" s="104" t="n">
        <v>50</v>
      </c>
      <c r="D18" s="105" t="s">
        <v>56</v>
      </c>
      <c r="E18" s="104" t="n">
        <v>50</v>
      </c>
      <c r="F18" s="105" t="s">
        <v>56</v>
      </c>
      <c r="G18" s="106" t="str">
        <f aca="false">IF(AND(D18="Sí",F18="Sí"),"Al día","Pendiente")</f>
        <v>Al día</v>
      </c>
    </row>
    <row r="19" s="108" customFormat="true" ht="21.75" hidden="false" customHeight="true" outlineLevel="0" collapsed="false">
      <c r="A19" s="93" t="n">
        <v>15</v>
      </c>
      <c r="B19" s="103" t="s">
        <v>68</v>
      </c>
      <c r="C19" s="104" t="n">
        <v>50</v>
      </c>
      <c r="D19" s="105" t="s">
        <v>56</v>
      </c>
      <c r="E19" s="104" t="n">
        <v>50</v>
      </c>
      <c r="F19" s="105" t="s">
        <v>56</v>
      </c>
      <c r="G19" s="107" t="str">
        <f aca="false">IF(AND(D19="Sí",F19="Sí"),"Al día","Pendiente")</f>
        <v>Al día</v>
      </c>
    </row>
    <row r="20" customFormat="false" ht="21.75" hidden="false" customHeight="true" outlineLevel="0" collapsed="false">
      <c r="A20" s="93" t="n">
        <v>16</v>
      </c>
      <c r="B20" s="103" t="s">
        <v>69</v>
      </c>
      <c r="C20" s="104" t="n">
        <v>50</v>
      </c>
      <c r="D20" s="105" t="s">
        <v>56</v>
      </c>
      <c r="E20" s="104" t="n">
        <v>50</v>
      </c>
      <c r="F20" s="105" t="s">
        <v>56</v>
      </c>
      <c r="G20" s="97" t="str">
        <f aca="false">IF(AND(D20="Sí",F20="Sí"),"Al día","Pendiente")</f>
        <v>Al día</v>
      </c>
    </row>
    <row r="21" customFormat="false" ht="21.75" hidden="false" customHeight="true" outlineLevel="0" collapsed="false">
      <c r="A21" s="93" t="n">
        <v>17</v>
      </c>
      <c r="B21" s="103" t="s">
        <v>70</v>
      </c>
      <c r="C21" s="104" t="n">
        <v>50</v>
      </c>
      <c r="D21" s="105" t="s">
        <v>56</v>
      </c>
      <c r="E21" s="104" t="n">
        <v>50</v>
      </c>
      <c r="F21" s="105" t="s">
        <v>71</v>
      </c>
      <c r="G21" s="107" t="str">
        <f aca="false">IF(AND(D21="Sí",F21="Sí"),"Al día","Pendiente")</f>
        <v>Pendiente</v>
      </c>
    </row>
    <row r="22" customFormat="false" ht="21.75" hidden="false" customHeight="true" outlineLevel="0" collapsed="false">
      <c r="A22" s="93"/>
      <c r="B22" s="103"/>
      <c r="C22" s="104"/>
      <c r="D22" s="105"/>
      <c r="E22" s="104"/>
      <c r="F22" s="105"/>
      <c r="G22" s="107"/>
    </row>
    <row r="23" customFormat="false" ht="21.75" hidden="false" customHeight="true" outlineLevel="0" collapsed="false">
      <c r="A23" s="93"/>
      <c r="B23" s="103"/>
      <c r="C23" s="104"/>
      <c r="D23" s="105"/>
      <c r="E23" s="104"/>
      <c r="F23" s="105"/>
      <c r="G23" s="106"/>
    </row>
    <row r="24" customFormat="false" ht="21.75" hidden="false" customHeight="true" outlineLevel="0" collapsed="false">
      <c r="A24" s="93"/>
      <c r="B24" s="103"/>
      <c r="C24" s="104"/>
      <c r="D24" s="105"/>
      <c r="E24" s="104"/>
      <c r="F24" s="105"/>
      <c r="G24" s="106"/>
    </row>
    <row r="25" customFormat="false" ht="21.75" hidden="false" customHeight="true" outlineLevel="0" collapsed="false">
      <c r="A25" s="93"/>
      <c r="B25" s="103"/>
      <c r="C25" s="104"/>
      <c r="D25" s="105"/>
      <c r="E25" s="104"/>
      <c r="F25" s="105"/>
      <c r="G25" s="106"/>
    </row>
    <row r="26" customFormat="false" ht="25.5" hidden="false" customHeight="true" outlineLevel="0" collapsed="false">
      <c r="A26" s="109" t="s">
        <v>72</v>
      </c>
      <c r="B26" s="109"/>
      <c r="C26" s="110" t="n">
        <f aca="false">SUMIF(D5:D25,"Sí",C5:C25)</f>
        <v>800</v>
      </c>
      <c r="D26" s="111"/>
      <c r="E26" s="110" t="n">
        <f aca="false">SUMIF(F5:F25,"Sí",E5:E25)</f>
        <v>750</v>
      </c>
      <c r="F26" s="111"/>
      <c r="G26" s="111"/>
    </row>
    <row r="27" customFormat="false" ht="15" hidden="false" customHeight="true" outlineLevel="0" collapsed="false">
      <c r="A27" s="112"/>
      <c r="B27" s="112"/>
      <c r="C27" s="113"/>
      <c r="D27" s="112"/>
      <c r="E27" s="112"/>
      <c r="F27" s="112"/>
      <c r="G27" s="112"/>
    </row>
    <row r="28" customFormat="false" ht="24" hidden="false" customHeight="true" outlineLevel="0" collapsed="false">
      <c r="A28" s="114" t="s">
        <v>73</v>
      </c>
      <c r="B28" s="114"/>
      <c r="C28" s="114"/>
      <c r="D28" s="114"/>
      <c r="E28" s="114"/>
      <c r="F28" s="114"/>
      <c r="G28" s="114"/>
    </row>
    <row r="29" customFormat="false" ht="15" hidden="false" customHeight="true" outlineLevel="0" collapsed="false">
      <c r="A29" s="115" t="s">
        <v>74</v>
      </c>
      <c r="B29" s="115"/>
      <c r="C29" s="115"/>
      <c r="D29" s="115"/>
      <c r="E29" s="115"/>
      <c r="F29" s="115"/>
      <c r="G29" s="115"/>
    </row>
    <row r="30" customFormat="false" ht="15" hidden="false" customHeight="true" outlineLevel="0" collapsed="false">
      <c r="A30" s="112"/>
      <c r="B30" s="112"/>
      <c r="C30" s="112"/>
      <c r="D30" s="112"/>
      <c r="E30" s="112"/>
      <c r="F30" s="112"/>
      <c r="G30" s="112"/>
    </row>
    <row r="31" customFormat="false" ht="30" hidden="false" customHeight="true" outlineLevel="0" collapsed="false">
      <c r="A31" s="85" t="s">
        <v>48</v>
      </c>
      <c r="B31" s="85" t="s">
        <v>49</v>
      </c>
      <c r="C31" s="85" t="s">
        <v>75</v>
      </c>
      <c r="D31" s="85" t="s">
        <v>76</v>
      </c>
      <c r="E31" s="85" t="s">
        <v>77</v>
      </c>
      <c r="F31" s="85" t="s">
        <v>78</v>
      </c>
      <c r="G31" s="112"/>
    </row>
    <row r="32" customFormat="false" ht="15" hidden="false" customHeight="true" outlineLevel="0" collapsed="false">
      <c r="A32" s="87" t="n">
        <v>1</v>
      </c>
      <c r="B32" s="88" t="s">
        <v>79</v>
      </c>
      <c r="C32" s="89" t="n">
        <v>40</v>
      </c>
      <c r="D32" s="90" t="s">
        <v>71</v>
      </c>
      <c r="E32" s="90"/>
      <c r="F32" s="88"/>
      <c r="G32" s="112"/>
    </row>
    <row r="33" customFormat="false" ht="15" hidden="false" customHeight="true" outlineLevel="0" collapsed="false">
      <c r="A33" s="112"/>
      <c r="B33" s="112"/>
      <c r="C33" s="112"/>
      <c r="D33" s="112"/>
      <c r="E33" s="112"/>
      <c r="F33" s="112"/>
      <c r="G33" s="112"/>
    </row>
    <row r="34" customFormat="false" ht="15" hidden="false" customHeight="true" outlineLevel="0" collapsed="false">
      <c r="A34" s="109" t="s">
        <v>72</v>
      </c>
      <c r="B34" s="109"/>
      <c r="C34" s="110" t="n">
        <f aca="false">SUMIF(D32:D32,"Sí",C32:C32)</f>
        <v>0</v>
      </c>
      <c r="D34" s="112"/>
      <c r="E34" s="112"/>
      <c r="F34" s="112"/>
      <c r="G34" s="112"/>
    </row>
    <row r="35" customFormat="false" ht="15" hidden="false" customHeight="true" outlineLevel="0" collapsed="false">
      <c r="A35" s="112"/>
      <c r="B35" s="112"/>
      <c r="C35" s="112"/>
      <c r="D35" s="112"/>
      <c r="E35" s="112"/>
      <c r="F35" s="112"/>
      <c r="G35" s="112"/>
    </row>
    <row r="36" customFormat="false" ht="15" hidden="false" customHeight="true" outlineLevel="0" collapsed="false">
      <c r="A36" s="112"/>
      <c r="B36" s="112"/>
      <c r="C36" s="112"/>
      <c r="D36" s="112"/>
      <c r="E36" s="112"/>
      <c r="F36" s="112"/>
      <c r="G36" s="112"/>
    </row>
    <row r="37" customFormat="false" ht="15" hidden="false" customHeight="true" outlineLevel="0" collapsed="false">
      <c r="A37" s="112"/>
      <c r="B37" s="112"/>
      <c r="C37" s="112"/>
      <c r="D37" s="112"/>
      <c r="E37" s="112"/>
      <c r="F37" s="112"/>
      <c r="G37" s="112"/>
    </row>
    <row r="38" customFormat="false" ht="15" hidden="false" customHeight="true" outlineLevel="0" collapsed="false">
      <c r="A38" s="112"/>
      <c r="B38" s="112"/>
      <c r="C38" s="112"/>
      <c r="D38" s="112"/>
      <c r="E38" s="112"/>
      <c r="F38" s="112"/>
      <c r="G38" s="112"/>
    </row>
    <row r="39" customFormat="false" ht="15" hidden="false" customHeight="true" outlineLevel="0" collapsed="false">
      <c r="A39" s="112"/>
      <c r="B39" s="112"/>
      <c r="C39" s="112"/>
      <c r="D39" s="112"/>
      <c r="E39" s="112"/>
      <c r="F39" s="112"/>
      <c r="G39" s="112"/>
    </row>
    <row r="40" customFormat="false" ht="15" hidden="false" customHeight="true" outlineLevel="0" collapsed="false">
      <c r="A40" s="112"/>
      <c r="B40" s="112"/>
      <c r="C40" s="112"/>
      <c r="D40" s="112"/>
      <c r="E40" s="112"/>
      <c r="F40" s="112"/>
      <c r="G40" s="112"/>
    </row>
    <row r="41" customFormat="false" ht="15" hidden="false" customHeight="true" outlineLevel="0" collapsed="false">
      <c r="A41" s="112"/>
      <c r="B41" s="112"/>
      <c r="C41" s="112"/>
      <c r="D41" s="112"/>
      <c r="E41" s="112"/>
      <c r="F41" s="112"/>
      <c r="G41" s="112"/>
    </row>
    <row r="42" customFormat="false" ht="15" hidden="false" customHeight="true" outlineLevel="0" collapsed="false">
      <c r="A42" s="112"/>
      <c r="B42" s="112"/>
      <c r="C42" s="112"/>
      <c r="D42" s="112"/>
      <c r="E42" s="112"/>
      <c r="F42" s="112"/>
      <c r="G42" s="112"/>
    </row>
    <row r="43" customFormat="false" ht="15" hidden="false" customHeight="true" outlineLevel="0" collapsed="false">
      <c r="A43" s="112"/>
      <c r="B43" s="112"/>
      <c r="C43" s="112"/>
      <c r="D43" s="112"/>
      <c r="E43" s="112"/>
      <c r="F43" s="112"/>
      <c r="G43" s="112"/>
    </row>
    <row r="44" customFormat="false" ht="15" hidden="false" customHeight="true" outlineLevel="0" collapsed="false">
      <c r="A44" s="112"/>
      <c r="B44" s="112"/>
      <c r="C44" s="112"/>
      <c r="D44" s="112"/>
      <c r="E44" s="112"/>
      <c r="F44" s="112"/>
      <c r="G44" s="112"/>
    </row>
    <row r="45" customFormat="false" ht="15" hidden="false" customHeight="true" outlineLevel="0" collapsed="false">
      <c r="A45" s="112"/>
      <c r="B45" s="112"/>
      <c r="C45" s="112"/>
      <c r="D45" s="112"/>
      <c r="E45" s="112"/>
      <c r="F45" s="112"/>
      <c r="G45" s="112"/>
    </row>
    <row r="46" customFormat="false" ht="15" hidden="false" customHeight="true" outlineLevel="0" collapsed="false">
      <c r="A46" s="112"/>
      <c r="B46" s="112"/>
      <c r="C46" s="112"/>
      <c r="D46" s="112"/>
      <c r="E46" s="112"/>
      <c r="F46" s="112"/>
      <c r="G46" s="112"/>
    </row>
    <row r="47" customFormat="false" ht="15" hidden="false" customHeight="true" outlineLevel="0" collapsed="false">
      <c r="A47" s="112"/>
      <c r="B47" s="112"/>
      <c r="C47" s="112"/>
      <c r="D47" s="112"/>
      <c r="E47" s="112"/>
      <c r="F47" s="112"/>
      <c r="G47" s="112"/>
    </row>
    <row r="48" customFormat="false" ht="15" hidden="false" customHeight="true" outlineLevel="0" collapsed="false">
      <c r="A48" s="112"/>
      <c r="B48" s="112"/>
      <c r="C48" s="112"/>
      <c r="D48" s="112"/>
      <c r="E48" s="112"/>
      <c r="F48" s="112"/>
      <c r="G48" s="112"/>
    </row>
    <row r="49" customFormat="false" ht="15" hidden="false" customHeight="true" outlineLevel="0" collapsed="false">
      <c r="A49" s="112"/>
      <c r="B49" s="112"/>
      <c r="C49" s="112"/>
      <c r="D49" s="112"/>
      <c r="E49" s="112"/>
      <c r="F49" s="112"/>
      <c r="G49" s="112"/>
    </row>
    <row r="50" customFormat="false" ht="15" hidden="false" customHeight="true" outlineLevel="0" collapsed="false">
      <c r="A50" s="112"/>
      <c r="B50" s="112"/>
      <c r="C50" s="112"/>
      <c r="D50" s="112"/>
      <c r="E50" s="112"/>
      <c r="F50" s="112"/>
      <c r="G50" s="112"/>
    </row>
    <row r="51" customFormat="false" ht="15" hidden="false" customHeight="true" outlineLevel="0" collapsed="false">
      <c r="A51" s="112"/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12"/>
      <c r="B52" s="112"/>
      <c r="C52" s="112"/>
      <c r="D52" s="112"/>
      <c r="E52" s="112"/>
      <c r="F52" s="112"/>
      <c r="G52" s="112"/>
    </row>
    <row r="53" customFormat="false" ht="15" hidden="false" customHeight="true" outlineLevel="0" collapsed="false">
      <c r="A53" s="112"/>
      <c r="B53" s="112"/>
      <c r="C53" s="112"/>
      <c r="D53" s="112"/>
      <c r="E53" s="112"/>
      <c r="F53" s="112"/>
      <c r="G53" s="112"/>
    </row>
    <row r="54" customFormat="false" ht="15" hidden="false" customHeight="true" outlineLevel="0" collapsed="false">
      <c r="A54" s="112"/>
      <c r="B54" s="112"/>
      <c r="C54" s="112"/>
      <c r="D54" s="112"/>
      <c r="E54" s="112"/>
      <c r="F54" s="112"/>
      <c r="G54" s="112"/>
    </row>
    <row r="55" customFormat="false" ht="15" hidden="false" customHeight="true" outlineLevel="0" collapsed="false">
      <c r="A55" s="112"/>
      <c r="B55" s="112"/>
      <c r="C55" s="112"/>
      <c r="D55" s="112"/>
      <c r="E55" s="112"/>
      <c r="F55" s="112"/>
      <c r="G55" s="112"/>
    </row>
    <row r="56" customFormat="false" ht="15" hidden="false" customHeight="true" outlineLevel="0" collapsed="false">
      <c r="A56" s="112"/>
      <c r="B56" s="112"/>
      <c r="C56" s="112"/>
      <c r="D56" s="112"/>
      <c r="E56" s="112"/>
      <c r="F56" s="112"/>
      <c r="G56" s="112"/>
    </row>
    <row r="57" customFormat="false" ht="15" hidden="false" customHeight="true" outlineLevel="0" collapsed="false">
      <c r="A57" s="112"/>
      <c r="B57" s="112"/>
      <c r="C57" s="112"/>
      <c r="D57" s="112"/>
      <c r="E57" s="112"/>
      <c r="F57" s="112"/>
      <c r="G57" s="112"/>
    </row>
    <row r="58" customFormat="false" ht="15" hidden="false" customHeight="true" outlineLevel="0" collapsed="false">
      <c r="A58" s="112"/>
      <c r="B58" s="112"/>
      <c r="C58" s="112"/>
      <c r="D58" s="112"/>
      <c r="E58" s="112"/>
      <c r="F58" s="112"/>
      <c r="G58" s="112"/>
    </row>
    <row r="59" customFormat="false" ht="15" hidden="false" customHeight="true" outlineLevel="0" collapsed="false">
      <c r="A59" s="112"/>
      <c r="B59" s="112"/>
      <c r="C59" s="112"/>
      <c r="D59" s="112"/>
      <c r="E59" s="112"/>
      <c r="F59" s="112"/>
      <c r="G59" s="112"/>
    </row>
  </sheetData>
  <mergeCells count="6">
    <mergeCell ref="A1:G1"/>
    <mergeCell ref="A2:G2"/>
    <mergeCell ref="A26:B26"/>
    <mergeCell ref="A28:G28"/>
    <mergeCell ref="A29:G29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5"/>
  </cols>
  <sheetData>
    <row r="1" customFormat="false" ht="17.25" hidden="false" customHeight="true" outlineLevel="0" collapsed="false">
      <c r="A1" s="116" t="s">
        <v>80</v>
      </c>
    </row>
    <row r="2" customFormat="false" ht="15" hidden="false" customHeight="true" outlineLevel="0" collapsed="false">
      <c r="A2" s="117" t="s">
        <v>81</v>
      </c>
    </row>
    <row r="4" customFormat="false" ht="40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116" t="s">
        <v>82</v>
      </c>
    </row>
    <row r="2" customFormat="false" ht="15" hidden="false" customHeight="true" outlineLevel="0" collapsed="false">
      <c r="A2" s="117" t="s">
        <v>83</v>
      </c>
    </row>
    <row r="4" customFormat="false" ht="37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</cols>
  <sheetData>
    <row r="1" customFormat="false" ht="15.75" hidden="false" customHeight="true" outlineLevel="0" collapsed="false">
      <c r="A1" s="118" t="s">
        <v>84</v>
      </c>
    </row>
    <row r="2" customFormat="false" ht="15" hidden="false" customHeight="true" outlineLevel="0" collapsed="false">
      <c r="A2" s="119" t="s">
        <v>85</v>
      </c>
    </row>
    <row r="4" customFormat="false" ht="37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</cols>
  <sheetData>
    <row r="1" customFormat="false" ht="15" hidden="false" customHeight="true" outlineLevel="0" collapsed="false">
      <c r="A1" s="120" t="s">
        <v>86</v>
      </c>
    </row>
    <row r="3" customFormat="false" ht="15" hidden="false" customHeight="true" outlineLevel="0" collapsed="false">
      <c r="A3" s="1" t="s">
        <v>87</v>
      </c>
      <c r="B3" s="1" t="s">
        <v>88</v>
      </c>
    </row>
    <row r="4" customFormat="false" ht="15" hidden="false" customHeight="true" outlineLevel="0" collapsed="false">
      <c r="A4" s="1" t="s">
        <v>89</v>
      </c>
      <c r="B4" s="1" t="s">
        <v>90</v>
      </c>
    </row>
    <row r="5" customFormat="false" ht="15" hidden="false" customHeight="true" outlineLevel="0" collapsed="false">
      <c r="A5" s="1" t="s">
        <v>91</v>
      </c>
      <c r="B5" s="1" t="s">
        <v>92</v>
      </c>
    </row>
    <row r="7" customFormat="false" ht="15" hidden="false" customHeight="true" outlineLevel="0" collapsed="false">
      <c r="A7" s="119" t="s">
        <v>93</v>
      </c>
    </row>
    <row r="8" customFormat="false" ht="15" hidden="false" customHeight="true" outlineLevel="0" collapsed="false">
      <c r="A8" s="1" t="s">
        <v>94</v>
      </c>
    </row>
    <row r="9" customFormat="false" ht="15" hidden="false" customHeight="true" outlineLevel="0" collapsed="false">
      <c r="A9" s="1" t="s">
        <v>95</v>
      </c>
    </row>
    <row r="10" customFormat="false" ht="15" hidden="false" customHeight="true" outlineLevel="0" collapsed="false">
      <c r="A10" s="1" t="s">
        <v>96</v>
      </c>
    </row>
    <row r="11" customFormat="false" ht="15" hidden="false" customHeight="true" outlineLevel="0" collapsed="false">
      <c r="A11" s="1" t="s">
        <v>97</v>
      </c>
    </row>
    <row r="13" customFormat="false" ht="15" hidden="false" customHeight="true" outlineLevel="0" collapsed="false">
      <c r="A13" s="119" t="s">
        <v>98</v>
      </c>
    </row>
    <row r="14" customFormat="false" ht="15" hidden="false" customHeight="true" outlineLevel="0" collapsed="false">
      <c r="A14" s="1" t="s">
        <v>99</v>
      </c>
    </row>
    <row r="15" customFormat="false" ht="15" hidden="false" customHeight="true" outlineLevel="0" collapsed="false">
      <c r="A15" s="1" t="s">
        <v>100</v>
      </c>
    </row>
    <row r="16" customFormat="false" ht="15" hidden="false" customHeight="true" outlineLevel="0" collapsed="false">
      <c r="A16" s="1" t="s">
        <v>101</v>
      </c>
    </row>
    <row r="17" customFormat="false" ht="15" hidden="false" customHeight="true" outlineLevel="0" collapsed="false">
      <c r="A17" s="1" t="s">
        <v>102</v>
      </c>
    </row>
    <row r="19" customFormat="false" ht="15" hidden="false" customHeight="true" outlineLevel="0" collapsed="false">
      <c r="A19" s="119" t="s">
        <v>103</v>
      </c>
    </row>
    <row r="20" customFormat="false" ht="15" hidden="false" customHeight="true" outlineLevel="0" collapsed="false">
      <c r="A20" s="1" t="s">
        <v>104</v>
      </c>
      <c r="B20" s="1" t="n">
        <v>280</v>
      </c>
    </row>
    <row r="21" customFormat="false" ht="15" hidden="false" customHeight="true" outlineLevel="0" collapsed="false">
      <c r="A21" s="1" t="s">
        <v>105</v>
      </c>
      <c r="B21" s="1" t="n">
        <v>28</v>
      </c>
    </row>
    <row r="22" customFormat="false" ht="15" hidden="false" customHeight="true" outlineLevel="0" collapsed="false">
      <c r="A22" s="121" t="s">
        <v>106</v>
      </c>
      <c r="B22" s="121" t="n">
        <v>308</v>
      </c>
    </row>
    <row r="24" customFormat="false" ht="15" hidden="false" customHeight="true" outlineLevel="0" collapsed="false">
      <c r="A24" s="1" t="s">
        <v>107</v>
      </c>
    </row>
    <row r="25" customFormat="false" ht="15" hidden="false" customHeight="true" outlineLevel="0" collapsed="false">
      <c r="A25" s="1" t="s">
        <v>108</v>
      </c>
    </row>
    <row r="26" customFormat="false" ht="15" hidden="false" customHeight="true" outlineLevel="0" collapsed="false">
      <c r="A26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2026-04-11T23:18:30Z</dcterms:created>
  <dc:creator>openpyxl</dc:creator>
  <dc:description/>
  <dc:language>en-US</dc:language>
  <cp:lastModifiedBy>Usuario</cp:lastModifiedBy>
  <dcterms:modified xsi:type="dcterms:W3CDTF">2026-09-26T12:05:32Z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