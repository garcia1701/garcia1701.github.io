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1610" tabRatio="600" firstSheet="0" activeTab="0" autoFilterDateGrouping="1"/>
  </bookViews>
  <sheets>
    <sheet xmlns:r="http://schemas.openxmlformats.org/officeDocument/2006/relationships" name="Registro 2026" sheetId="1" state="visible" r:id="rId1"/>
    <sheet xmlns:r="http://schemas.openxmlformats.org/officeDocument/2006/relationships" name="Resumen Anual" sheetId="2" state="visible" r:id="rId2"/>
    <sheet xmlns:r="http://schemas.openxmlformats.org/officeDocument/2006/relationships" name="Socios y Cuotas" sheetId="3" state="visible" r:id="rId3"/>
    <sheet xmlns:r="http://schemas.openxmlformats.org/officeDocument/2006/relationships" name="Ticket Cena" sheetId="4" state="visible" r:id="rId4"/>
    <sheet xmlns:r="http://schemas.openxmlformats.org/officeDocument/2006/relationships" name="Tickets Compra" sheetId="5" state="visible" r:id="rId5"/>
  </sheets>
  <definedNames/>
  <calcPr calcId="162913" fullCalcOnLoad="1"/>
</workbook>
</file>

<file path=xl/styles.xml><?xml version="1.0" encoding="utf-8"?>
<styleSheet xmlns="http://schemas.openxmlformats.org/spreadsheetml/2006/main">
  <numFmts count="1">
    <numFmt numFmtId="164" formatCode="#,##0.00\ \€"/>
  </numFmts>
  <fonts count="31">
    <font>
      <name val="Calibri"/>
      <family val="2"/>
      <color theme="1"/>
      <sz val="11"/>
      <scheme val="minor"/>
    </font>
    <font>
      <name val="Arial"/>
      <b val="1"/>
      <color rgb="FF7A0000"/>
      <sz val="22"/>
    </font>
    <font>
      <name val="Arial"/>
      <i val="1"/>
      <color rgb="FFC9A227"/>
      <sz val="11"/>
    </font>
    <font>
      <name val="Arial"/>
      <b val="1"/>
      <color rgb="FF7A0000"/>
      <sz val="12"/>
    </font>
    <font>
      <name val="Arial"/>
      <b val="1"/>
      <color rgb="FFFFFFFF"/>
      <sz val="10"/>
    </font>
    <font>
      <name val="Arial"/>
      <color rgb="FF000000"/>
      <sz val="10"/>
    </font>
    <font>
      <name val="Arial"/>
      <b val="1"/>
      <color rgb="FFFFFFFF"/>
      <sz val="12"/>
    </font>
    <font>
      <name val="Arial"/>
      <b val="1"/>
      <color rgb="FFC9A227"/>
      <sz val="12"/>
    </font>
    <font>
      <name val="Arial"/>
      <b val="1"/>
      <i val="1"/>
      <color rgb="FF7A0000"/>
      <sz val="10"/>
    </font>
    <font>
      <name val="Arial"/>
      <b val="1"/>
      <color rgb="FFFFFFFF"/>
      <sz val="16"/>
    </font>
    <font>
      <name val="Arial"/>
      <b val="1"/>
      <i val="1"/>
      <color rgb="FF7A0000"/>
      <sz val="11"/>
    </font>
    <font>
      <name val="Arial"/>
      <b val="1"/>
      <color rgb="FF000000"/>
      <sz val="10"/>
    </font>
    <font>
      <name val="Arial"/>
      <b val="1"/>
      <color rgb="FFFFFFFF"/>
      <sz val="11"/>
    </font>
    <font>
      <name val="Arial"/>
      <i val="1"/>
      <color rgb="FF7A0000"/>
      <sz val="10"/>
    </font>
    <font>
      <name val="Arial"/>
      <b val="1"/>
      <color rgb="FFFFFFFF"/>
      <sz val="9"/>
    </font>
    <font>
      <name val="Arial"/>
      <b val="1"/>
      <color rgb="FF7A0000"/>
      <sz val="10"/>
    </font>
    <font>
      <name val="Arial"/>
      <sz val="10"/>
    </font>
    <font>
      <name val="Arial"/>
      <b val="1"/>
      <sz val="10"/>
    </font>
    <font>
      <name val="Arial"/>
      <family val="2"/>
      <b val="1"/>
      <color rgb="FFFFFFFF"/>
      <sz val="9"/>
    </font>
    <font>
      <name val="Arial"/>
      <family val="2"/>
      <color rgb="FF000000"/>
      <sz val="10"/>
    </font>
    <font>
      <name val="Arial"/>
      <family val="2"/>
      <b val="1"/>
      <color rgb="FFFF0000"/>
      <sz val="10"/>
    </font>
    <font>
      <name val="Calibri"/>
      <family val="2"/>
      <b val="1"/>
      <color rgb="FFFF0000"/>
      <sz val="11"/>
      <scheme val="minor"/>
    </font>
    <font>
      <name val="Arial"/>
      <family val="2"/>
      <b val="1"/>
      <color rgb="FF00B050"/>
      <sz val="10"/>
    </font>
    <font>
      <name val="Calibri"/>
      <family val="2"/>
      <b val="1"/>
      <color rgb="FF00B050"/>
      <sz val="11"/>
      <scheme val="minor"/>
    </font>
    <font>
      <name val="Arial"/>
      <family val="2"/>
      <b val="1"/>
      <color rgb="FF0070C0"/>
      <sz val="10"/>
    </font>
    <font>
      <name val="Calibri"/>
      <family val="2"/>
      <b val="1"/>
      <color rgb="FF0070C0"/>
      <sz val="11"/>
      <scheme val="minor"/>
    </font>
    <font>
      <name val="Arial"/>
      <family val="2"/>
      <b val="1"/>
      <color rgb="FFFFFFFF"/>
      <sz val="11"/>
    </font>
    <font>
      <name val="Calibri"/>
      <family val="2"/>
      <color theme="10"/>
      <sz val="11"/>
      <u val="single"/>
      <scheme val="minor"/>
    </font>
    <font>
      <b val="1"/>
      <color rgb="007A0000"/>
      <sz val="13"/>
    </font>
    <font>
      <b val="1"/>
      <sz val="11"/>
    </font>
    <font>
      <b val="1"/>
      <color rgb="007A0000"/>
      <u val="single"/>
    </font>
  </fonts>
  <fills count="7">
    <fill>
      <patternFill/>
    </fill>
    <fill>
      <patternFill patternType="gray125"/>
    </fill>
    <fill>
      <patternFill patternType="solid">
        <fgColor rgb="FFF5F0E8"/>
      </patternFill>
    </fill>
    <fill>
      <patternFill patternType="solid">
        <fgColor rgb="FF7A0000"/>
      </patternFill>
    </fill>
    <fill>
      <patternFill patternType="solid">
        <fgColor rgb="FFF0D080"/>
      </patternFill>
    </fill>
    <fill>
      <patternFill patternType="solid">
        <fgColor rgb="FFFFFFFF"/>
      </patternFill>
    </fill>
    <fill>
      <patternFill patternType="solid">
        <fgColor rgb="FFA00000"/>
      </patternFill>
    </fill>
  </fills>
  <borders count="11">
    <border>
      <left/>
      <right/>
      <top/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medium">
        <color rgb="FF7A0000"/>
      </top>
      <bottom style="medium">
        <color rgb="FF7A0000"/>
      </bottom>
      <diagonal/>
    </border>
    <border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thin">
        <color rgb="FFC9A227"/>
      </top>
      <bottom style="thin">
        <color rgb="FFC9A227"/>
      </bottom>
      <diagonal/>
    </border>
    <border>
      <left/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medium">
        <color rgb="FF7A0000"/>
      </top>
      <bottom/>
      <diagonal/>
    </border>
    <border>
      <left/>
      <right style="medium">
        <color rgb="FF7A0000"/>
      </right>
      <top style="medium">
        <color rgb="FF7A0000"/>
      </top>
      <bottom/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</borders>
  <cellStyleXfs count="2">
    <xf numFmtId="0" fontId="0" fillId="0" borderId="0"/>
    <xf numFmtId="0" fontId="27" fillId="0" borderId="0"/>
  </cellStyleXfs>
  <cellXfs count="68">
    <xf numFmtId="0" fontId="0" fillId="0" borderId="0" pivotButton="0" quotePrefix="0" xfId="0"/>
    <xf numFmtId="0" fontId="4" fillId="3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right" vertical="center"/>
    </xf>
    <xf numFmtId="14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right" vertical="center"/>
    </xf>
    <xf numFmtId="164" fontId="6" fillId="6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4" fontId="3" fillId="4" borderId="2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164" fontId="11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left" vertical="center"/>
    </xf>
    <xf numFmtId="164" fontId="11" fillId="2" borderId="1" applyAlignment="1" pivotButton="0" quotePrefix="0" xfId="0">
      <alignment horizontal="right" vertical="center"/>
    </xf>
    <xf numFmtId="164" fontId="12" fillId="6" borderId="2" applyAlignment="1" pivotButton="0" quotePrefix="0" xfId="0">
      <alignment horizontal="right" vertical="center"/>
    </xf>
    <xf numFmtId="0" fontId="14" fillId="3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0" fillId="3" borderId="2" pivotButton="0" quotePrefix="0" xfId="0"/>
    <xf numFmtId="0" fontId="16" fillId="5" borderId="1" applyAlignment="1" pivotButton="0" quotePrefix="0" xfId="0">
      <alignment horizontal="left" vertical="center"/>
    </xf>
    <xf numFmtId="164" fontId="16" fillId="5" borderId="1" applyAlignment="1" pivotButton="0" quotePrefix="0" xfId="0">
      <alignment horizontal="right" vertical="center"/>
    </xf>
    <xf numFmtId="0" fontId="16" fillId="5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left" vertical="center"/>
    </xf>
    <xf numFmtId="164" fontId="16" fillId="2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14" fontId="20" fillId="2" borderId="1" applyAlignment="1" pivotButton="0" quotePrefix="0" xfId="0">
      <alignment horizontal="center" vertical="center"/>
    </xf>
    <xf numFmtId="0" fontId="20" fillId="2" borderId="1" applyAlignment="1" pivotButton="0" quotePrefix="0" xfId="0">
      <alignment horizontal="left" vertical="center" wrapText="1"/>
    </xf>
    <xf numFmtId="164" fontId="20" fillId="2" borderId="1" applyAlignment="1" pivotButton="0" quotePrefix="0" xfId="0">
      <alignment horizontal="right" vertical="center"/>
    </xf>
    <xf numFmtId="0" fontId="21" fillId="0" borderId="0" pivotButton="0" quotePrefix="0" xfId="0"/>
    <xf numFmtId="14" fontId="22" fillId="5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left" vertical="center" wrapText="1"/>
    </xf>
    <xf numFmtId="0" fontId="22" fillId="5" borderId="1" applyAlignment="1" pivotButton="0" quotePrefix="0" xfId="0">
      <alignment horizontal="center" vertical="center"/>
    </xf>
    <xf numFmtId="164" fontId="22" fillId="5" borderId="1" applyAlignment="1" pivotButton="0" quotePrefix="0" xfId="0">
      <alignment horizontal="right" vertical="center"/>
    </xf>
    <xf numFmtId="0" fontId="23" fillId="0" borderId="0" pivotButton="0" quotePrefix="0" xfId="0"/>
    <xf numFmtId="14" fontId="24" fillId="2" borderId="1" applyAlignment="1" pivotButton="0" quotePrefix="0" xfId="0">
      <alignment horizontal="center" vertical="center"/>
    </xf>
    <xf numFmtId="0" fontId="24" fillId="2" borderId="1" applyAlignment="1" pivotButton="0" quotePrefix="0" xfId="0">
      <alignment horizontal="left" vertical="center" wrapText="1"/>
    </xf>
    <xf numFmtId="0" fontId="24" fillId="2" borderId="1" applyAlignment="1" pivotButton="0" quotePrefix="0" xfId="0">
      <alignment horizontal="center" vertical="center"/>
    </xf>
    <xf numFmtId="164" fontId="24" fillId="2" borderId="1" applyAlignment="1" pivotButton="0" quotePrefix="0" xfId="0">
      <alignment horizontal="right" vertical="center"/>
    </xf>
    <xf numFmtId="0" fontId="25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6" fillId="3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2" fillId="3" borderId="2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26" fillId="3" borderId="2" applyAlignment="1" pivotButton="0" quotePrefix="0" xfId="0">
      <alignment horizontal="center" vertical="center"/>
    </xf>
    <xf numFmtId="0" fontId="27" fillId="2" borderId="1" applyAlignment="1" pivotButton="0" quotePrefix="0" xfId="1">
      <alignment horizontal="center" vertical="center"/>
    </xf>
    <xf numFmtId="0" fontId="30" fillId="2" borderId="1" applyAlignment="1" pivotButton="0" quotePrefix="0" xfId="1">
      <alignment horizontal="center" vertical="center"/>
    </xf>
    <xf numFmtId="0" fontId="28" fillId="0" borderId="0" pivotButton="0" quotePrefix="0" xfId="0"/>
    <xf numFmtId="0" fontId="29" fillId="0" borderId="0" pivotButton="0" quotePrefix="0" xfId="0"/>
  </cellXfs>
  <cellStyles count="2">
    <cellStyle name="Normal" xfId="0" builtinId="0"/>
    <cellStyle name="Hipervíncul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3333750" cy="5715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5715000" cy="4762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icket Cena'!A1" TargetMode="External" Id="rId1"/><Relationship Type="http://schemas.openxmlformats.org/officeDocument/2006/relationships/hyperlink" Target="ticket_1y2.png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tabSelected="1" workbookViewId="0">
      <selection activeCell="C10" sqref="C10"/>
    </sheetView>
  </sheetViews>
  <sheetFormatPr baseColWidth="10" defaultColWidth="9.140625" defaultRowHeight="15"/>
  <cols>
    <col width="12" customWidth="1" style="50" min="1" max="1"/>
    <col width="32" customWidth="1" style="50" min="2" max="2"/>
    <col width="18" customWidth="1" style="50" min="3" max="3"/>
    <col width="16" customWidth="1" style="50" min="4" max="5"/>
    <col width="30" customWidth="1" style="50" min="6" max="6"/>
  </cols>
  <sheetData>
    <row r="1" ht="69.95" customHeight="1" s="50">
      <c r="A1" s="54" t="inlineStr">
        <is>
          <t>PEÑA TAURINA PEGUERINOS</t>
        </is>
      </c>
    </row>
    <row r="2" ht="21.95" customHeight="1" s="50">
      <c r="A2" s="49" t="inlineStr">
        <is>
          <t>Ávila, Castilla y León  ·  Libro de Ingresos y Gastos</t>
        </is>
      </c>
    </row>
    <row r="3" ht="21.95" customHeight="1" s="50">
      <c r="A3" s="55" t="inlineStr">
        <is>
          <t>Ejercicio 2026</t>
        </is>
      </c>
    </row>
    <row r="4" ht="8.1" customHeight="1" s="50"/>
    <row r="5" ht="30" customHeight="1" s="50">
      <c r="A5" s="1" t="inlineStr">
        <is>
          <t>FECHA</t>
        </is>
      </c>
      <c r="B5" s="1" t="inlineStr">
        <is>
          <t>CONCEPTO</t>
        </is>
      </c>
      <c r="C5" s="1" t="inlineStr">
        <is>
          <t>CATEGORÍA</t>
        </is>
      </c>
      <c r="D5" s="1" t="inlineStr">
        <is>
          <t>INGRESO (€)</t>
        </is>
      </c>
      <c r="E5" s="1" t="inlineStr">
        <is>
          <t>GASTO (€)</t>
        </is>
      </c>
      <c r="F5" s="1" t="inlineStr">
        <is>
          <t>OBSERVACIONES</t>
        </is>
      </c>
    </row>
    <row r="6" ht="20.1" customFormat="1" customHeight="1" s="48">
      <c r="A6" s="44" t="n">
        <v>46093</v>
      </c>
      <c r="B6" s="45" t="inlineStr">
        <is>
          <t>cuota semestral socios</t>
        </is>
      </c>
      <c r="C6" s="46" t="n"/>
      <c r="D6" s="47" t="n">
        <v>650</v>
      </c>
      <c r="E6" s="47" t="n"/>
      <c r="F6" s="45" t="n"/>
    </row>
    <row r="7" ht="20.1" customFormat="1" customHeight="1" s="43">
      <c r="A7" s="39" t="n">
        <v>46100</v>
      </c>
      <c r="B7" s="40" t="inlineStr">
        <is>
          <t>suscripcion canal tv y cesion de local</t>
        </is>
      </c>
      <c r="C7" s="41" t="n"/>
      <c r="D7" s="42" t="n"/>
      <c r="E7" s="42" t="n"/>
      <c r="F7" s="40" t="inlineStr">
        <is>
          <t>colaboracion socio</t>
        </is>
      </c>
    </row>
    <row r="8" ht="20.1" customFormat="1" customHeight="1" s="38">
      <c r="A8" s="35" t="n">
        <v>46106</v>
      </c>
      <c r="B8" s="36" t="inlineStr">
        <is>
          <t>reunion cena de  convivencia</t>
        </is>
      </c>
      <c r="C8" s="65" t="inlineStr">
        <is>
          <t>🧾 Ver Ticket Cena</t>
        </is>
      </c>
      <c r="D8" s="37" t="n"/>
      <c r="E8" s="37" t="n">
        <v>150</v>
      </c>
      <c r="F8" s="36" t="n"/>
    </row>
    <row r="9" ht="20.1" customFormat="1" customHeight="1" s="43">
      <c r="A9" s="39" t="n">
        <v>46134</v>
      </c>
      <c r="B9" s="40" t="inlineStr">
        <is>
          <t>dotacion camisetas y pañoletas</t>
        </is>
      </c>
      <c r="C9" s="41" t="n"/>
      <c r="D9" s="42" t="n"/>
      <c r="E9" s="42" t="n"/>
      <c r="F9" s="40" t="inlineStr">
        <is>
          <t>colaboracion socio</t>
        </is>
      </c>
    </row>
    <row r="10" ht="20.1" customFormat="1" customHeight="1" s="38">
      <c r="A10" s="35" t="n">
        <v>46138</v>
      </c>
      <c r="B10" s="36" t="inlineStr">
        <is>
          <t>compras cena inaugural</t>
        </is>
      </c>
      <c r="C10" s="64" t="inlineStr">
        <is>
          <t>ver ticklet caja(2)</t>
        </is>
      </c>
      <c r="D10" s="37" t="n"/>
      <c r="E10" s="37" t="n">
        <v>130</v>
      </c>
      <c r="F10" s="36" t="n"/>
    </row>
    <row r="11" ht="20.1" customFormat="1" customHeight="1" s="43">
      <c r="A11" s="39" t="n">
        <v>46139</v>
      </c>
      <c r="B11" s="40" t="inlineStr">
        <is>
          <t>tarjetas boligrafos</t>
        </is>
      </c>
      <c r="C11" s="41" t="n"/>
      <c r="D11" s="42" t="n"/>
      <c r="E11" s="42" t="n"/>
      <c r="F11" s="40" t="inlineStr">
        <is>
          <t>colaboracion socio</t>
        </is>
      </c>
    </row>
    <row r="12" ht="20.1" customHeight="1" s="50">
      <c r="A12" s="2" t="n"/>
      <c r="B12" s="3" t="n"/>
      <c r="C12" s="4" t="n"/>
      <c r="D12" s="5" t="n"/>
      <c r="E12" s="5" t="n"/>
      <c r="F12" s="3" t="n"/>
    </row>
    <row r="13" ht="20.1" customHeight="1" s="50">
      <c r="A13" s="6" t="n"/>
      <c r="B13" s="7" t="n"/>
      <c r="C13" s="8" t="n"/>
      <c r="D13" s="9" t="n"/>
      <c r="E13" s="9" t="n"/>
      <c r="F13" s="7" t="n"/>
    </row>
    <row r="14" ht="20.1" customHeight="1" s="50">
      <c r="A14" s="2" t="n"/>
      <c r="B14" s="3" t="n"/>
      <c r="C14" s="4" t="n"/>
      <c r="D14" s="5" t="n"/>
      <c r="E14" s="5" t="n"/>
      <c r="F14" s="3" t="n"/>
    </row>
    <row r="15" ht="20.1" customHeight="1" s="50">
      <c r="A15" s="6" t="n"/>
      <c r="B15" s="7" t="n"/>
      <c r="C15" s="8" t="n"/>
      <c r="D15" s="9" t="n"/>
      <c r="E15" s="9" t="n"/>
      <c r="F15" s="7" t="n"/>
    </row>
    <row r="16" ht="20.1" customHeight="1" s="50">
      <c r="A16" s="2" t="n"/>
      <c r="B16" s="3" t="n"/>
      <c r="C16" s="4" t="n"/>
      <c r="D16" s="5" t="n"/>
      <c r="E16" s="5" t="n"/>
      <c r="F16" s="3" t="n"/>
    </row>
    <row r="17" ht="20.1" customHeight="1" s="50">
      <c r="A17" s="6" t="n"/>
      <c r="B17" s="7" t="n"/>
      <c r="C17" s="8" t="n"/>
      <c r="D17" s="9" t="n"/>
      <c r="E17" s="9" t="n"/>
      <c r="F17" s="7" t="n"/>
    </row>
    <row r="18" ht="20.1" customHeight="1" s="50">
      <c r="A18" s="2" t="n"/>
      <c r="B18" s="3" t="n"/>
      <c r="C18" s="4" t="n"/>
      <c r="D18" s="5" t="n"/>
      <c r="E18" s="5" t="n"/>
      <c r="F18" s="3" t="n"/>
    </row>
    <row r="19" ht="20.1" customHeight="1" s="50">
      <c r="A19" s="6" t="n"/>
      <c r="B19" s="7" t="n"/>
      <c r="C19" s="8" t="n"/>
      <c r="D19" s="9" t="n"/>
      <c r="E19" s="9" t="n"/>
      <c r="F19" s="7" t="n"/>
    </row>
    <row r="20" ht="20.1" customHeight="1" s="50">
      <c r="A20" s="2" t="n"/>
      <c r="B20" s="3" t="n"/>
      <c r="C20" s="4" t="n"/>
      <c r="D20" s="5" t="n"/>
      <c r="E20" s="5" t="n"/>
      <c r="F20" s="3" t="n"/>
    </row>
    <row r="21" ht="20.1" customHeight="1" s="50">
      <c r="A21" s="6" t="n"/>
      <c r="B21" s="7" t="n"/>
      <c r="C21" s="8" t="n"/>
      <c r="D21" s="9" t="n"/>
      <c r="E21" s="9" t="n"/>
      <c r="F21" s="7" t="n"/>
    </row>
    <row r="22" ht="20.1" customHeight="1" s="50">
      <c r="A22" s="2" t="n"/>
      <c r="B22" s="3" t="n"/>
      <c r="C22" s="4" t="n"/>
      <c r="D22" s="5" t="n"/>
      <c r="E22" s="5" t="n"/>
      <c r="F22" s="3" t="n"/>
    </row>
    <row r="23" ht="20.1" customHeight="1" s="50">
      <c r="A23" s="6" t="n"/>
      <c r="B23" s="7" t="n"/>
      <c r="C23" s="8" t="n"/>
      <c r="D23" s="9" t="n"/>
      <c r="E23" s="9" t="n"/>
      <c r="F23" s="7" t="n"/>
    </row>
    <row r="24" ht="20.1" customHeight="1" s="50">
      <c r="A24" s="2" t="n"/>
      <c r="B24" s="3" t="n"/>
      <c r="C24" s="4" t="n"/>
      <c r="D24" s="5" t="n"/>
      <c r="E24" s="5" t="n"/>
      <c r="F24" s="3" t="n"/>
    </row>
    <row r="25" ht="20.1" customHeight="1" s="50">
      <c r="A25" s="6" t="n"/>
      <c r="B25" s="7" t="n"/>
      <c r="C25" s="8" t="n"/>
      <c r="D25" s="9" t="n"/>
      <c r="E25" s="9" t="n"/>
      <c r="F25" s="7" t="n"/>
    </row>
    <row r="26" ht="20.1" customHeight="1" s="50">
      <c r="A26" s="2" t="n"/>
      <c r="B26" s="3" t="n"/>
      <c r="C26" s="4" t="n"/>
      <c r="D26" s="5" t="n"/>
      <c r="E26" s="5" t="n"/>
      <c r="F26" s="3" t="n"/>
    </row>
    <row r="27" ht="20.1" customHeight="1" s="50">
      <c r="A27" s="6" t="n"/>
      <c r="B27" s="7" t="n"/>
      <c r="C27" s="8" t="n"/>
      <c r="D27" s="9" t="n"/>
      <c r="E27" s="9" t="n"/>
      <c r="F27" s="7" t="n"/>
    </row>
    <row r="28" ht="20.1" customHeight="1" s="50">
      <c r="A28" s="2" t="n"/>
      <c r="B28" s="3" t="n"/>
      <c r="C28" s="4" t="n"/>
      <c r="D28" s="5" t="n"/>
      <c r="E28" s="5" t="n"/>
      <c r="F28" s="3" t="n"/>
    </row>
    <row r="29" ht="20.1" customHeight="1" s="50">
      <c r="A29" s="6" t="n"/>
      <c r="B29" s="7" t="n"/>
      <c r="C29" s="8" t="n"/>
      <c r="D29" s="9" t="n"/>
      <c r="E29" s="9" t="n"/>
      <c r="F29" s="7" t="n"/>
    </row>
    <row r="30" ht="20.1" customHeight="1" s="50">
      <c r="A30" s="2" t="n"/>
      <c r="B30" s="3" t="n"/>
      <c r="C30" s="4" t="n"/>
      <c r="D30" s="5" t="n"/>
      <c r="E30" s="5" t="n"/>
      <c r="F30" s="3" t="n"/>
    </row>
    <row r="31" ht="20.1" customHeight="1" s="50">
      <c r="A31" s="6" t="n"/>
      <c r="B31" s="7" t="n"/>
      <c r="C31" s="8" t="n"/>
      <c r="D31" s="9" t="n"/>
      <c r="E31" s="9" t="n"/>
      <c r="F31" s="7" t="n"/>
    </row>
    <row r="32" ht="20.1" customHeight="1" s="50">
      <c r="A32" s="2" t="n"/>
      <c r="B32" s="3" t="n"/>
      <c r="C32" s="4" t="n"/>
      <c r="D32" s="5" t="n"/>
      <c r="E32" s="5" t="n"/>
      <c r="F32" s="3" t="n"/>
    </row>
    <row r="33" ht="20.1" customHeight="1" s="50">
      <c r="A33" s="6" t="n"/>
      <c r="B33" s="7" t="n"/>
      <c r="C33" s="8" t="n"/>
      <c r="D33" s="9" t="n"/>
      <c r="E33" s="9" t="n"/>
      <c r="F33" s="7" t="n"/>
    </row>
    <row r="34" ht="20.1" customHeight="1" s="50">
      <c r="A34" s="2" t="n"/>
      <c r="B34" s="3" t="n"/>
      <c r="C34" s="4" t="n"/>
      <c r="D34" s="5" t="n"/>
      <c r="E34" s="5" t="n"/>
      <c r="F34" s="3" t="n"/>
    </row>
    <row r="35" ht="20.1" customHeight="1" s="50">
      <c r="A35" s="6" t="n"/>
      <c r="B35" s="7" t="n"/>
      <c r="C35" s="8" t="n"/>
      <c r="D35" s="9" t="n"/>
      <c r="E35" s="9" t="n"/>
      <c r="F35" s="7" t="n"/>
    </row>
    <row r="36" ht="20.1" customHeight="1" s="50">
      <c r="A36" s="2" t="n"/>
      <c r="B36" s="3" t="n"/>
      <c r="C36" s="4" t="n"/>
      <c r="D36" s="5" t="n"/>
      <c r="E36" s="5" t="n"/>
      <c r="F36" s="3" t="n"/>
    </row>
    <row r="37" ht="20.1" customHeight="1" s="50">
      <c r="A37" s="6" t="n"/>
      <c r="B37" s="7" t="n"/>
      <c r="C37" s="8" t="n"/>
      <c r="D37" s="9" t="n"/>
      <c r="E37" s="9" t="n"/>
      <c r="F37" s="7" t="n"/>
    </row>
    <row r="38" ht="20.1" customHeight="1" s="50">
      <c r="A38" s="2" t="n"/>
      <c r="B38" s="3" t="n"/>
      <c r="C38" s="4" t="n"/>
      <c r="D38" s="5" t="n"/>
      <c r="E38" s="5" t="n"/>
      <c r="F38" s="3" t="n"/>
    </row>
    <row r="39" ht="20.1" customHeight="1" s="50">
      <c r="A39" s="6" t="n"/>
      <c r="B39" s="7" t="n"/>
      <c r="C39" s="8" t="n"/>
      <c r="D39" s="9" t="n"/>
      <c r="E39" s="9" t="n"/>
      <c r="F39" s="7" t="n"/>
    </row>
    <row r="40" ht="20.1" customHeight="1" s="50">
      <c r="A40" s="2" t="n"/>
      <c r="B40" s="3" t="n"/>
      <c r="C40" s="4" t="n"/>
      <c r="D40" s="5" t="n"/>
      <c r="E40" s="5" t="n"/>
      <c r="F40" s="3" t="n"/>
    </row>
    <row r="41" ht="20.1" customHeight="1" s="50">
      <c r="A41" s="6" t="n"/>
      <c r="B41" s="7" t="n"/>
      <c r="C41" s="8" t="n"/>
      <c r="D41" s="9" t="n"/>
      <c r="E41" s="9" t="n"/>
      <c r="F41" s="7" t="n"/>
    </row>
    <row r="42" ht="20.1" customHeight="1" s="50">
      <c r="A42" s="2" t="n"/>
      <c r="B42" s="3" t="n"/>
      <c r="C42" s="4" t="n"/>
      <c r="D42" s="5" t="n"/>
      <c r="E42" s="5" t="n"/>
      <c r="F42" s="3" t="n"/>
    </row>
    <row r="43" ht="20.1" customHeight="1" s="50">
      <c r="A43" s="6" t="n"/>
      <c r="B43" s="7" t="n"/>
      <c r="C43" s="8" t="n"/>
      <c r="D43" s="9" t="n"/>
      <c r="E43" s="9" t="n"/>
      <c r="F43" s="7" t="n"/>
    </row>
    <row r="44" ht="20.1" customHeight="1" s="50">
      <c r="A44" s="2" t="n"/>
      <c r="B44" s="3" t="n"/>
      <c r="C44" s="4" t="n"/>
      <c r="D44" s="5" t="n"/>
      <c r="E44" s="5" t="n"/>
      <c r="F44" s="3" t="n"/>
    </row>
    <row r="45" ht="20.1" customHeight="1" s="50">
      <c r="A45" s="6" t="n"/>
      <c r="B45" s="7" t="n"/>
      <c r="C45" s="8" t="n"/>
      <c r="D45" s="9" t="n"/>
      <c r="E45" s="9" t="n"/>
      <c r="F45" s="7" t="n"/>
    </row>
    <row r="46" ht="8.1" customHeight="1" s="50"/>
    <row r="47" ht="27.95" customHeight="1" s="50">
      <c r="A47" s="51" t="inlineStr">
        <is>
          <t>TOTALES</t>
        </is>
      </c>
      <c r="B47" s="52" t="n"/>
      <c r="C47" s="53" t="n"/>
      <c r="D47" s="10">
        <f>SUM(D6:D45)</f>
        <v/>
      </c>
      <c r="E47" s="10">
        <f>SUM(E6:E45)</f>
        <v/>
      </c>
      <c r="F47" s="11">
        <f>D47-E47</f>
        <v/>
      </c>
    </row>
    <row r="48" ht="15.75" customHeight="1" s="50">
      <c r="A48" s="56" t="inlineStr">
        <is>
          <t>SALDO (Ingresos - Gastos)</t>
        </is>
      </c>
      <c r="B48" s="57" t="n"/>
      <c r="C48" s="58" t="n"/>
      <c r="F48" s="12">
        <f>D47-E47</f>
        <v/>
      </c>
    </row>
  </sheetData>
  <mergeCells count="5">
    <mergeCell ref="A2:F2"/>
    <mergeCell ref="A47:C47"/>
    <mergeCell ref="A1:F1"/>
    <mergeCell ref="A3:F3"/>
    <mergeCell ref="A48:C48"/>
  </mergeCells>
  <hyperlinks>
    <hyperlink xmlns:r="http://schemas.openxmlformats.org/officeDocument/2006/relationships" ref="C8" r:id="rId1"/>
    <hyperlink xmlns:r="http://schemas.openxmlformats.org/officeDocument/2006/relationships" ref="C10" r:id="rId2"/>
  </hyperlink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D14" sqref="D14"/>
    </sheetView>
  </sheetViews>
  <sheetFormatPr baseColWidth="10" defaultColWidth="9.140625" defaultRowHeight="15"/>
  <cols>
    <col width="28" customWidth="1" style="50" min="1" max="1"/>
    <col width="18" customWidth="1" style="50" min="2" max="4"/>
  </cols>
  <sheetData>
    <row r="1" ht="60" customHeight="1" s="50">
      <c r="A1" s="60" t="inlineStr">
        <is>
          <t>PEÑA TAURINA PEGUERINOS — RESUMEN ANUAL</t>
        </is>
      </c>
    </row>
    <row r="2" ht="21.95" customHeight="1" s="50">
      <c r="A2" s="61" t="inlineStr">
        <is>
          <t>Ejercicio 2026</t>
        </is>
      </c>
    </row>
    <row r="3" ht="8.1" customHeight="1" s="50"/>
    <row r="4" ht="27.95" customHeight="1" s="50">
      <c r="A4" s="1" t="inlineStr">
        <is>
          <t>CATEGORÍA</t>
        </is>
      </c>
      <c r="B4" s="1" t="inlineStr">
        <is>
          <t>INGRESOS (€)</t>
        </is>
      </c>
      <c r="C4" s="1" t="inlineStr">
        <is>
          <t>GASTOS (€)</t>
        </is>
      </c>
      <c r="D4" s="1" t="inlineStr">
        <is>
          <t>SALDO (€)</t>
        </is>
      </c>
    </row>
    <row r="5" ht="21.95" customHeight="1" s="50">
      <c r="A5" s="13" t="inlineStr">
        <is>
          <t>Cuotas socios</t>
        </is>
      </c>
      <c r="B5" s="9" t="n">
        <v>0</v>
      </c>
      <c r="C5" s="9" t="n">
        <v>0</v>
      </c>
      <c r="D5" s="14">
        <f>B5-C5</f>
        <v/>
      </c>
    </row>
    <row r="6" ht="21.95" customHeight="1" s="50">
      <c r="A6" s="15" t="inlineStr">
        <is>
          <t>Subvención</t>
        </is>
      </c>
      <c r="B6" s="5" t="n">
        <v>0</v>
      </c>
      <c r="C6" s="5" t="n">
        <v>0</v>
      </c>
      <c r="D6" s="16">
        <f>B6-C6</f>
        <v/>
      </c>
    </row>
    <row r="7" ht="21.95" customHeight="1" s="50">
      <c r="A7" s="13" t="inlineStr">
        <is>
          <t>Evento/Cena</t>
        </is>
      </c>
      <c r="B7" s="9" t="n">
        <v>0</v>
      </c>
      <c r="C7" s="9" t="n">
        <v>0</v>
      </c>
      <c r="D7" s="14" t="n">
        <v>0</v>
      </c>
    </row>
    <row r="8" ht="21.95" customHeight="1" s="50">
      <c r="A8" s="15" t="inlineStr">
        <is>
          <t>Material</t>
        </is>
      </c>
      <c r="B8" s="5" t="n">
        <v>0</v>
      </c>
      <c r="C8" s="5" t="n">
        <v>0</v>
      </c>
      <c r="D8" s="16">
        <f>B8-C8</f>
        <v/>
      </c>
    </row>
    <row r="9" ht="21.95" customHeight="1" s="50">
      <c r="A9" s="13" t="inlineStr">
        <is>
          <t>Plataforma TV</t>
        </is>
      </c>
      <c r="B9" s="9" t="n">
        <v>0</v>
      </c>
      <c r="C9" s="9" t="n">
        <v>0</v>
      </c>
      <c r="D9" s="14">
        <f>B9-C9</f>
        <v/>
      </c>
    </row>
    <row r="10" ht="21.95" customHeight="1" s="50">
      <c r="A10" s="15" t="inlineStr">
        <is>
          <t>Camisetas</t>
        </is>
      </c>
      <c r="B10" s="5" t="n">
        <v>0</v>
      </c>
      <c r="C10" s="5" t="n">
        <v>0</v>
      </c>
      <c r="D10" s="16">
        <f>B10-C10</f>
        <v/>
      </c>
    </row>
    <row r="11" ht="21.95" customHeight="1" s="50">
      <c r="A11" s="13" t="inlineStr">
        <is>
          <t>Otros</t>
        </is>
      </c>
      <c r="B11" s="9" t="n">
        <v>0</v>
      </c>
      <c r="C11" s="9" t="n">
        <v>0</v>
      </c>
      <c r="D11" s="14">
        <f>B11-C11</f>
        <v/>
      </c>
    </row>
    <row r="12" ht="27.95" customHeight="1" s="50">
      <c r="A12" s="63" t="inlineStr">
        <is>
          <t>TOTAL</t>
        </is>
      </c>
      <c r="B12" s="17">
        <f>SUM(B5:B11)</f>
        <v/>
      </c>
      <c r="C12" s="17" t="n">
        <v>280</v>
      </c>
      <c r="D12" s="17" t="n">
        <v>370</v>
      </c>
    </row>
  </sheetData>
  <mergeCells count="3">
    <mergeCell ref="A12"/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G22" sqref="G22"/>
    </sheetView>
  </sheetViews>
  <sheetFormatPr baseColWidth="10" defaultColWidth="9.140625" defaultRowHeight="15"/>
  <cols>
    <col width="6" customWidth="1" style="50" min="1" max="1"/>
    <col width="30" customWidth="1" style="50" min="2" max="2"/>
    <col width="14" customWidth="1" style="50" min="3" max="6"/>
    <col width="16" customWidth="1" style="50" min="7" max="7"/>
  </cols>
  <sheetData>
    <row r="1" ht="60" customHeight="1" s="50">
      <c r="A1" s="60" t="inlineStr">
        <is>
          <t>PEÑA TAURINA PEGUERINOS — CONTROL DE CUOTAS</t>
        </is>
      </c>
    </row>
    <row r="2" ht="21.95" customHeight="1" s="50">
      <c r="A2" s="62" t="inlineStr">
        <is>
          <t>Cuota anual: 100 € en dos plazos de 50 € (marzo y septiembre)</t>
        </is>
      </c>
    </row>
    <row r="3" ht="8.1" customHeight="1" s="50"/>
    <row r="4" ht="30" customHeight="1" s="50">
      <c r="A4" s="18" t="inlineStr">
        <is>
          <t>Nº</t>
        </is>
      </c>
      <c r="B4" s="18" t="inlineStr">
        <is>
          <t>NOMBRE Y APELLIDOS</t>
        </is>
      </c>
      <c r="C4" s="18" t="inlineStr">
        <is>
          <t>1.er PLAZO
Marzo</t>
        </is>
      </c>
      <c r="D4" s="18" t="inlineStr">
        <is>
          <t>PAGADO
Marzo</t>
        </is>
      </c>
      <c r="E4" s="18" t="inlineStr">
        <is>
          <t>2.º PLAZO
Septiembre</t>
        </is>
      </c>
      <c r="F4" s="18" t="inlineStr">
        <is>
          <t>PAGADO
Sept.</t>
        </is>
      </c>
      <c r="G4" s="32" t="inlineStr">
        <is>
          <t>ESTADO</t>
        </is>
      </c>
    </row>
    <row r="5" ht="21.95" customHeight="1" s="50">
      <c r="A5" s="19" t="n">
        <v>1</v>
      </c>
      <c r="B5" s="13" t="inlineStr">
        <is>
          <t>Miguel Ángel Rodríguez Fariña</t>
        </is>
      </c>
      <c r="C5" s="9" t="n">
        <v>50</v>
      </c>
      <c r="D5" s="34" t="inlineStr">
        <is>
          <t>si</t>
        </is>
      </c>
      <c r="E5" s="9" t="n">
        <v>50</v>
      </c>
      <c r="F5" s="8" t="inlineStr">
        <is>
          <t>No</t>
        </is>
      </c>
      <c r="G5" s="20">
        <f>IF(AND(D5="Sí",F5="Sí"),"✓ Al corriente",IF(OR(D5="Sí",F5="Sí"),"Parcial","Pendiente"))</f>
        <v/>
      </c>
    </row>
    <row r="6" ht="21.95" customHeight="1" s="50">
      <c r="A6" s="21" t="n">
        <v>2</v>
      </c>
      <c r="B6" s="15" t="inlineStr">
        <is>
          <t>Daniel Álvarez García</t>
        </is>
      </c>
      <c r="C6" s="5" t="n">
        <v>50</v>
      </c>
      <c r="D6" s="33" t="inlineStr">
        <is>
          <t>si</t>
        </is>
      </c>
      <c r="E6" s="5" t="n">
        <v>50</v>
      </c>
      <c r="F6" s="4" t="inlineStr">
        <is>
          <t>No</t>
        </is>
      </c>
      <c r="G6" s="22">
        <f>IF(AND(D6="Sí",F6="Sí"),"✓ Al corriente",IF(OR(D6="Sí",F6="Sí"),"Parcial","Pendiente"))</f>
        <v/>
      </c>
    </row>
    <row r="7" ht="21.95" customHeight="1" s="50">
      <c r="A7" s="19" t="n">
        <v>3</v>
      </c>
      <c r="B7" s="13" t="inlineStr">
        <is>
          <t>Joaquín Rodríguez Fariña</t>
        </is>
      </c>
      <c r="C7" s="9" t="n">
        <v>50</v>
      </c>
      <c r="D7" s="34" t="inlineStr">
        <is>
          <t>si</t>
        </is>
      </c>
      <c r="E7" s="9" t="n">
        <v>50</v>
      </c>
      <c r="F7" s="8" t="inlineStr">
        <is>
          <t>No</t>
        </is>
      </c>
      <c r="G7" s="20">
        <f>IF(AND(D7="Sí",F7="Sí"),"✓ Al corriente",IF(OR(D7="Sí",F7="Sí"),"Parcial","Pendiente"))</f>
        <v/>
      </c>
    </row>
    <row r="8" ht="21.95" customHeight="1" s="50">
      <c r="A8" s="21" t="n">
        <v>4</v>
      </c>
      <c r="B8" s="15" t="inlineStr">
        <is>
          <t>Juan Fernando Casado Tormo</t>
        </is>
      </c>
      <c r="C8" s="5" t="n">
        <v>50</v>
      </c>
      <c r="D8" s="33" t="inlineStr">
        <is>
          <t>si</t>
        </is>
      </c>
      <c r="E8" s="5" t="n">
        <v>50</v>
      </c>
      <c r="F8" s="4" t="inlineStr">
        <is>
          <t>No</t>
        </is>
      </c>
      <c r="G8" s="22">
        <f>IF(AND(D8="Sí",F8="Sí"),"✓ Al corriente",IF(OR(D8="Sí",F8="Sí"),"Parcial","Pendiente"))</f>
        <v/>
      </c>
    </row>
    <row r="9" ht="21.95" customHeight="1" s="50">
      <c r="A9" s="19" t="n">
        <v>5</v>
      </c>
      <c r="B9" s="13" t="inlineStr">
        <is>
          <t>Félix Rodríguez</t>
        </is>
      </c>
      <c r="C9" s="9" t="n">
        <v>50</v>
      </c>
      <c r="D9" s="34" t="inlineStr">
        <is>
          <t>si</t>
        </is>
      </c>
      <c r="E9" s="9" t="n">
        <v>50</v>
      </c>
      <c r="F9" s="8" t="inlineStr">
        <is>
          <t>No</t>
        </is>
      </c>
      <c r="G9" s="20">
        <f>IF(AND(D9="Sí",F9="Sí"),"✓ Al corriente",IF(OR(D9="Sí",F9="Sí"),"Parcial","Pendiente"))</f>
        <v/>
      </c>
    </row>
    <row r="10" ht="21.95" customHeight="1" s="50">
      <c r="A10" s="21" t="n">
        <v>6</v>
      </c>
      <c r="B10" s="15" t="inlineStr">
        <is>
          <t>José Carlos García Pozo</t>
        </is>
      </c>
      <c r="C10" s="5" t="n">
        <v>50</v>
      </c>
      <c r="D10" s="33" t="inlineStr">
        <is>
          <t>si</t>
        </is>
      </c>
      <c r="E10" s="5" t="n">
        <v>50</v>
      </c>
      <c r="F10" s="4" t="inlineStr">
        <is>
          <t>No</t>
        </is>
      </c>
      <c r="G10" s="22">
        <f>IF(AND(D10="Sí",F10="Sí"),"✓ Al corriente",IF(OR(D10="Sí",F10="Sí"),"Parcial","Pendiente"))</f>
        <v/>
      </c>
    </row>
    <row r="11" ht="21.95" customHeight="1" s="50">
      <c r="A11" s="19" t="n">
        <v>7</v>
      </c>
      <c r="B11" s="13" t="inlineStr">
        <is>
          <t>Jaime Vila-Coro Laviña</t>
        </is>
      </c>
      <c r="C11" s="9" t="n">
        <v>50</v>
      </c>
      <c r="D11" s="34" t="inlineStr">
        <is>
          <t>si</t>
        </is>
      </c>
      <c r="E11" s="9" t="n">
        <v>50</v>
      </c>
      <c r="F11" s="8" t="inlineStr">
        <is>
          <t>No</t>
        </is>
      </c>
      <c r="G11" s="20">
        <f>IF(AND(D11="Sí",F11="Sí"),"✓ Al corriente",IF(OR(D11="Sí",F11="Sí"),"Parcial","Pendiente"))</f>
        <v/>
      </c>
    </row>
    <row r="12" ht="21.95" customHeight="1" s="50">
      <c r="A12" s="21" t="n">
        <v>8</v>
      </c>
      <c r="B12" s="15" t="inlineStr">
        <is>
          <t>José Luis Cañaveral-Fernández</t>
        </is>
      </c>
      <c r="C12" s="5" t="n">
        <v>50</v>
      </c>
      <c r="D12" s="33" t="inlineStr">
        <is>
          <t>si</t>
        </is>
      </c>
      <c r="E12" s="5" t="n">
        <v>50</v>
      </c>
      <c r="F12" s="4" t="inlineStr">
        <is>
          <t>No</t>
        </is>
      </c>
      <c r="G12" s="22">
        <f>IF(AND(D12="Sí",F12="Sí"),"✓ Al corriente",IF(OR(D12="Sí",F12="Sí"),"Parcial","Pendiente"))</f>
        <v/>
      </c>
    </row>
    <row r="13" ht="21.95" customHeight="1" s="50">
      <c r="A13" s="19" t="n">
        <v>9</v>
      </c>
      <c r="B13" s="13" t="inlineStr">
        <is>
          <t>Alejandro Tanarro García</t>
        </is>
      </c>
      <c r="C13" s="9" t="n">
        <v>50</v>
      </c>
      <c r="D13" s="34" t="inlineStr">
        <is>
          <t>si</t>
        </is>
      </c>
      <c r="E13" s="9" t="n">
        <v>50</v>
      </c>
      <c r="F13" s="8" t="inlineStr">
        <is>
          <t>No</t>
        </is>
      </c>
      <c r="G13" s="20">
        <f>IF(AND(D13="Sí",F13="Sí"),"✓ Al corriente",IF(OR(D13="Sí",F13="Sí"),"Parcial","Pendiente"))</f>
        <v/>
      </c>
    </row>
    <row r="14" ht="21.95" customHeight="1" s="50">
      <c r="A14" s="21" t="n">
        <v>10</v>
      </c>
      <c r="B14" s="15" t="inlineStr">
        <is>
          <t>Luis Alfonso García</t>
        </is>
      </c>
      <c r="C14" s="5" t="n">
        <v>50</v>
      </c>
      <c r="D14" s="33" t="inlineStr">
        <is>
          <t>si</t>
        </is>
      </c>
      <c r="E14" s="5" t="n">
        <v>50</v>
      </c>
      <c r="F14" s="4" t="inlineStr">
        <is>
          <t>No</t>
        </is>
      </c>
      <c r="G14" s="22">
        <f>IF(AND(D14="Sí",F14="Sí"),"✓ Al corriente",IF(OR(D14="Sí",F14="Sí"),"Parcial","Pendiente"))</f>
        <v/>
      </c>
    </row>
    <row r="15" ht="21.95" customHeight="1" s="50">
      <c r="A15" s="19" t="n">
        <v>11</v>
      </c>
      <c r="B15" s="13" t="inlineStr">
        <is>
          <t>José Luis Cañaveral-Fernández Santos</t>
        </is>
      </c>
      <c r="C15" s="9" t="n">
        <v>50</v>
      </c>
      <c r="D15" s="8" t="inlineStr">
        <is>
          <t>SI</t>
        </is>
      </c>
      <c r="E15" s="9" t="n">
        <v>50</v>
      </c>
      <c r="F15" s="8" t="inlineStr">
        <is>
          <t>No</t>
        </is>
      </c>
      <c r="G15" s="20">
        <f>IF(AND(D15="Sí",F15="Sí"),"✓ Al corriente",IF(OR(D15="Sí",F15="Sí"),"Parcial","Pendiente"))</f>
        <v/>
      </c>
    </row>
    <row r="16" ht="21.95" customHeight="1" s="50">
      <c r="A16" s="19" t="n">
        <v>13</v>
      </c>
      <c r="B16" s="24" t="inlineStr">
        <is>
          <t>Alfonso Rilo</t>
        </is>
      </c>
      <c r="C16" s="25" t="n">
        <v>50</v>
      </c>
      <c r="D16" s="26" t="inlineStr">
        <is>
          <t>Sí</t>
        </is>
      </c>
      <c r="E16" s="25" t="n">
        <v>50</v>
      </c>
      <c r="F16" s="26" t="inlineStr">
        <is>
          <t>No</t>
        </is>
      </c>
      <c r="G16" s="27" t="inlineStr">
        <is>
          <t>Pendiente</t>
        </is>
      </c>
    </row>
    <row r="17" ht="21.95" customHeight="1" s="50">
      <c r="A17" s="21" t="n">
        <v>14</v>
      </c>
      <c r="B17" s="28" t="inlineStr">
        <is>
          <t>Sergio Monge Gómez</t>
        </is>
      </c>
      <c r="C17" s="29" t="n">
        <v>50</v>
      </c>
      <c r="D17" s="30" t="inlineStr">
        <is>
          <t>Sí</t>
        </is>
      </c>
      <c r="E17" s="29" t="n">
        <v>50</v>
      </c>
      <c r="F17" s="30" t="inlineStr">
        <is>
          <t>No</t>
        </is>
      </c>
      <c r="G17" s="31" t="inlineStr">
        <is>
          <t>Pendiente</t>
        </is>
      </c>
    </row>
    <row r="18" ht="26.1" customHeight="1" s="50">
      <c r="A18" s="59" t="inlineStr">
        <is>
          <t>TOTAL RECAUDADO</t>
        </is>
      </c>
      <c r="B18" s="53" t="n"/>
      <c r="C18" s="17">
        <f>SUM(C5:C17)</f>
        <v/>
      </c>
      <c r="D18" s="23" t="n"/>
      <c r="E18" s="17">
        <f>SUM(E5:E17)</f>
        <v/>
      </c>
      <c r="F18" s="23" t="n"/>
      <c r="G18" s="23" t="n"/>
    </row>
  </sheetData>
  <mergeCells count="3">
    <mergeCell ref="A18:B18"/>
    <mergeCell ref="A2:G2"/>
    <mergeCell ref="A1:G1"/>
  </mergeCell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55" customWidth="1" style="50" min="1" max="1"/>
  </cols>
  <sheetData>
    <row r="1">
      <c r="A1" s="66" t="inlineStr">
        <is>
          <t>📷 Ticket Cena — Mesón El Risco del Águila (25/03/2026)</t>
        </is>
      </c>
    </row>
    <row r="2">
      <c r="A2" s="67" t="inlineStr">
        <is>
          <t>Importe: 147,43 €</t>
        </is>
      </c>
    </row>
    <row r="4" ht="450" customHeight="1" s="50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80" customWidth="1" style="50" min="1" max="1"/>
  </cols>
  <sheetData>
    <row r="1">
      <c r="A1" s="66" t="inlineStr">
        <is>
          <t>📷 Tickets Compra — Carnicería Las Navas + Lupa (25/04/2026)</t>
        </is>
      </c>
    </row>
    <row r="2">
      <c r="A2" s="67" t="inlineStr">
        <is>
          <t>Carnicería: 58,03 €  |  Lupa: 66,08 €  |  Total: 124,11 €</t>
        </is>
      </c>
    </row>
    <row r="4" ht="380" customHeight="1" s="50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2026-04-11T23:18:30Z</dcterms:created>
  <dcterms:modified xmlns:dcterms="http://purl.org/dc/terms/" xmlns:xsi="http://www.w3.org/2001/XMLSchema-instance" xsi:type="dcterms:W3CDTF">2026-04-26T19:52:24Z</dcterms:modified>
  <cp:lastModifiedBy>Usuario</cp:lastModifiedBy>
</cp:coreProperties>
</file>