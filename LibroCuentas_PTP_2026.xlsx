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copia seguridad peña taurina peguerinos\"/>
    </mc:Choice>
  </mc:AlternateContent>
  <bookViews>
    <workbookView xWindow="0" yWindow="0" windowWidth="22575" windowHeight="7395"/>
  </bookViews>
  <sheets>
    <sheet name="Registro 2026" sheetId="1" r:id="rId1"/>
    <sheet name="Resumen Anual" sheetId="2" r:id="rId2"/>
    <sheet name="Socios y Cuotas" sheetId="3" r:id="rId3"/>
    <sheet name="Ticket Cena" sheetId="4" r:id="rId4"/>
    <sheet name="Tickets Compra" sheetId="5" r:id="rId5"/>
  </sheets>
  <calcPr calcId="162913"/>
</workbook>
</file>

<file path=xl/calcChain.xml><?xml version="1.0" encoding="utf-8"?>
<calcChain xmlns="http://schemas.openxmlformats.org/spreadsheetml/2006/main">
  <c r="B12" i="2" l="1"/>
  <c r="D11" i="2"/>
  <c r="D10" i="2"/>
  <c r="D9" i="2"/>
  <c r="D8" i="2"/>
  <c r="D6" i="2"/>
  <c r="D5" i="2"/>
  <c r="E47" i="1"/>
  <c r="D47" i="1"/>
  <c r="F48" i="1" s="1"/>
  <c r="F47" i="1" l="1"/>
</calcChain>
</file>

<file path=xl/sharedStrings.xml><?xml version="1.0" encoding="utf-8"?>
<sst xmlns="http://schemas.openxmlformats.org/spreadsheetml/2006/main" count="92" uniqueCount="65">
  <si>
    <t>PEÑA TAURINA PEGUERINOS</t>
  </si>
  <si>
    <t>Ávila, Castilla y León  ·  Libro de Ingresos y Gastos</t>
  </si>
  <si>
    <t>Ejercicio 2026</t>
  </si>
  <si>
    <t>FECHA</t>
  </si>
  <si>
    <t>CONCEPTO</t>
  </si>
  <si>
    <t>CATEGORÍA</t>
  </si>
  <si>
    <t>INGRESO (€)</t>
  </si>
  <si>
    <t>GASTO (€)</t>
  </si>
  <si>
    <t>OBSERVACIONES</t>
  </si>
  <si>
    <t>cuota semestral socios</t>
  </si>
  <si>
    <t>suscripcion canal tv y cesion de local</t>
  </si>
  <si>
    <t>colaboracion socio</t>
  </si>
  <si>
    <t>reunion cena de  convivencia</t>
  </si>
  <si>
    <t>🧾 Ver Ticket Cena</t>
  </si>
  <si>
    <t>dotacion camisetas y pañoletas</t>
  </si>
  <si>
    <t>compras cena inaugural</t>
  </si>
  <si>
    <t>ver ticklet caja(2)</t>
  </si>
  <si>
    <t>tarjetas boligrafos</t>
  </si>
  <si>
    <t>TOTALES</t>
  </si>
  <si>
    <t>SALDO (Ingresos - Gastos)</t>
  </si>
  <si>
    <t>PEÑA TAURINA PEGUERINOS — RESUMEN ANUAL</t>
  </si>
  <si>
    <t>INGRESOS (€)</t>
  </si>
  <si>
    <t>GASTOS (€)</t>
  </si>
  <si>
    <t>SALDO (€)</t>
  </si>
  <si>
    <t>Cuotas socios</t>
  </si>
  <si>
    <t>Subvención</t>
  </si>
  <si>
    <t>Evento/Cena</t>
  </si>
  <si>
    <t>Material</t>
  </si>
  <si>
    <t>Plataforma TV</t>
  </si>
  <si>
    <t>Camisetas</t>
  </si>
  <si>
    <t>Otros</t>
  </si>
  <si>
    <t>TOTAL</t>
  </si>
  <si>
    <t>PEÑA TAURINA PEGUERINOS — CONTROL DE CUOTAS</t>
  </si>
  <si>
    <t>Cuota anual: 100 € en dos plazos de 50 € (marzo y septiembre)</t>
  </si>
  <si>
    <t>Nº</t>
  </si>
  <si>
    <t>NOMBRE Y APELLIDOS</t>
  </si>
  <si>
    <t>1.er PLAZO
Marzo</t>
  </si>
  <si>
    <t>PAGADO
Marzo</t>
  </si>
  <si>
    <t>2.º PLAZO
Septiembre</t>
  </si>
  <si>
    <t>PAGADO
Sept.</t>
  </si>
  <si>
    <t>ESTADO</t>
  </si>
  <si>
    <t>Miguel Ángel Rodríguez Fariña</t>
  </si>
  <si>
    <t>si</t>
  </si>
  <si>
    <t>No</t>
  </si>
  <si>
    <t>Daniel Álvarez García</t>
  </si>
  <si>
    <t>Joaquín Rodríguez Fariña</t>
  </si>
  <si>
    <t>Juan Fernando Casado Tormo</t>
  </si>
  <si>
    <t>Félix Rodríguez</t>
  </si>
  <si>
    <t>José Carlos García Pozo</t>
  </si>
  <si>
    <t>Jaime Vila-Coro Laviña</t>
  </si>
  <si>
    <t>José Luis Cañaveral-Fernández</t>
  </si>
  <si>
    <t>Alejandro Tanarro García</t>
  </si>
  <si>
    <t>Luis Alfonso García</t>
  </si>
  <si>
    <t>José Luis Cañaveral-Fernández Santos</t>
  </si>
  <si>
    <t>SI</t>
  </si>
  <si>
    <t>Alfonso Rilo</t>
  </si>
  <si>
    <t>Sí</t>
  </si>
  <si>
    <t>Sergio Monge Gómez</t>
  </si>
  <si>
    <t>TOTAL RECAUDADO</t>
  </si>
  <si>
    <t>📷 Ticket Cena — Mesón El Risco del Águila (25/03/2026)</t>
  </si>
  <si>
    <t>Importe: 147,43 €</t>
  </si>
  <si>
    <t>📷 Tickets Compra — Carnicería Las Navas + Lupa (25/04/2026)</t>
  </si>
  <si>
    <t>Carnicería: 58,03 €  |  Lupa: 66,08 €  |  Total: 124,11 €</t>
  </si>
  <si>
    <t>Jose Antonio Galvez</t>
  </si>
  <si>
    <t>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</si>
</sst>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\€"/>
  </numFmts>
  <fonts count="32" x14ac:knownFonts="1">
    <font>
      <sz val="11"/>
      <color theme="1"/>
      <name val="Calibri"/>
      <family val="2"/>
      <scheme val="minor"/>
    </font>
    <font>
      <b/>
      <sz val="22"/>
      <color rgb="FF7A0000"/>
      <name val="Arial"/>
    </font>
    <font>
      <i/>
      <sz val="11"/>
      <color rgb="FFC9A227"/>
      <name val="Arial"/>
    </font>
    <font>
      <b/>
      <sz val="12"/>
      <color rgb="FF7A0000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12"/>
      <color rgb="FFFFFFFF"/>
      <name val="Arial"/>
    </font>
    <font>
      <b/>
      <sz val="12"/>
      <color rgb="FFC9A227"/>
      <name val="Arial"/>
    </font>
    <font>
      <b/>
      <i/>
      <sz val="10"/>
      <color rgb="FF7A0000"/>
      <name val="Arial"/>
    </font>
    <font>
      <b/>
      <sz val="16"/>
      <color rgb="FFFFFFFF"/>
      <name val="Arial"/>
    </font>
    <font>
      <b/>
      <i/>
      <sz val="11"/>
      <color rgb="FF7A0000"/>
      <name val="Arial"/>
    </font>
    <font>
      <b/>
      <sz val="10"/>
      <color rgb="FF000000"/>
      <name val="Arial"/>
    </font>
    <font>
      <b/>
      <sz val="11"/>
      <color rgb="FFFFFFFF"/>
      <name val="Arial"/>
    </font>
    <font>
      <i/>
      <sz val="10"/>
      <color rgb="FF7A0000"/>
      <name val="Arial"/>
    </font>
    <font>
      <b/>
      <sz val="9"/>
      <color rgb="FFFFFFFF"/>
      <name val="Arial"/>
    </font>
    <font>
      <b/>
      <sz val="10"/>
      <color rgb="FF7A0000"/>
      <name val="Arial"/>
    </font>
    <font>
      <sz val="10"/>
      <name val="Arial"/>
    </font>
    <font>
      <b/>
      <sz val="10"/>
      <name val="Arial"/>
    </font>
    <font>
      <b/>
      <sz val="9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FF0000"/>
      <name val="Arial"/>
      <family val="2"/>
    </font>
    <font>
      <b/>
      <sz val="11"/>
      <color rgb="FFFF0000"/>
      <name val="Calibri"/>
      <family val="2"/>
      <scheme val="minor"/>
    </font>
    <font>
      <b/>
      <sz val="10"/>
      <color rgb="FF00B050"/>
      <name val="Arial"/>
      <family val="2"/>
    </font>
    <font>
      <b/>
      <sz val="11"/>
      <color rgb="FF00B050"/>
      <name val="Calibri"/>
      <family val="2"/>
      <scheme val="minor"/>
    </font>
    <font>
      <b/>
      <sz val="10"/>
      <color rgb="FF0070C0"/>
      <name val="Arial"/>
      <family val="2"/>
    </font>
    <font>
      <b/>
      <sz val="11"/>
      <color rgb="FF0070C0"/>
      <name val="Calibri"/>
      <family val="2"/>
      <scheme val="minor"/>
    </font>
    <font>
      <b/>
      <sz val="11"/>
      <color rgb="FFFFFFFF"/>
      <name val="Arial"/>
      <family val="2"/>
    </font>
    <font>
      <u/>
      <sz val="11"/>
      <color theme="10"/>
      <name val="Calibri"/>
      <family val="2"/>
      <scheme val="minor"/>
    </font>
    <font>
      <b/>
      <sz val="13"/>
      <color rgb="FF7A0000"/>
      <name val="Calibri"/>
    </font>
    <font>
      <b/>
      <sz val="11"/>
      <name val="Calibri"/>
    </font>
    <font>
      <b/>
      <u/>
      <sz val="11"/>
      <color rgb="FF7A0000"/>
      <name val="Calibri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5F0E8"/>
      </patternFill>
    </fill>
    <fill>
      <patternFill patternType="solid">
        <fgColor rgb="FF7A0000"/>
      </patternFill>
    </fill>
    <fill>
      <patternFill patternType="solid">
        <fgColor rgb="FFF0D080"/>
      </patternFill>
    </fill>
    <fill>
      <patternFill patternType="solid">
        <fgColor rgb="FFFFFFFF"/>
      </patternFill>
    </fill>
    <fill>
      <patternFill patternType="solid">
        <fgColor rgb="FFA00000"/>
      </patternFill>
    </fill>
  </fills>
  <borders count="12">
    <border>
      <left/>
      <right/>
      <top/>
      <bottom/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 style="medium">
        <color rgb="FF7A0000"/>
      </left>
      <right style="medium">
        <color rgb="FF7A0000"/>
      </right>
      <top style="medium">
        <color rgb="FF7A0000"/>
      </top>
      <bottom style="medium">
        <color rgb="FF7A0000"/>
      </bottom>
      <diagonal/>
    </border>
    <border>
      <left/>
      <right/>
      <top style="medium">
        <color rgb="FF7A0000"/>
      </top>
      <bottom style="medium">
        <color rgb="FF7A0000"/>
      </bottom>
      <diagonal/>
    </border>
    <border>
      <left/>
      <right style="medium">
        <color rgb="FF7A0000"/>
      </right>
      <top style="medium">
        <color rgb="FF7A0000"/>
      </top>
      <bottom style="medium">
        <color rgb="FF7A0000"/>
      </bottom>
      <diagonal/>
    </border>
    <border>
      <left/>
      <right/>
      <top style="thin">
        <color rgb="FFC9A227"/>
      </top>
      <bottom style="thin">
        <color rgb="FFC9A227"/>
      </bottom>
      <diagonal/>
    </border>
    <border>
      <left/>
      <right style="thin">
        <color rgb="FFC9A227"/>
      </right>
      <top style="thin">
        <color rgb="FFC9A227"/>
      </top>
      <bottom style="thin">
        <color rgb="FFC9A227"/>
      </bottom>
      <diagonal/>
    </border>
    <border>
      <left style="medium">
        <color rgb="FF7A0000"/>
      </left>
      <right style="medium">
        <color rgb="FF7A0000"/>
      </right>
      <top/>
      <bottom style="medium">
        <color rgb="FF7A0000"/>
      </bottom>
      <diagonal/>
    </border>
    <border>
      <left/>
      <right style="medium">
        <color rgb="FF7A0000"/>
      </right>
      <top/>
      <bottom style="medium">
        <color rgb="FF7A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/>
      <diagonal/>
    </border>
  </borders>
  <cellStyleXfs count="2">
    <xf numFmtId="0" fontId="0" fillId="0" borderId="0"/>
    <xf numFmtId="0" fontId="27" fillId="0" borderId="0"/>
  </cellStyleXfs>
  <cellXfs count="82">
    <xf numFmtId="0" fontId="0" fillId="0" borderId="0" xfId="0"/>
    <xf numFmtId="0" fontId="4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horizontal="right" vertical="center"/>
    </xf>
    <xf numFmtId="1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right" vertical="center"/>
    </xf>
    <xf numFmtId="164" fontId="6" fillId="6" borderId="2" xfId="0" applyNumberFormat="1" applyFont="1" applyFill="1" applyBorder="1" applyAlignment="1">
      <alignment horizontal="right" vertical="center"/>
    </xf>
    <xf numFmtId="164" fontId="7" fillId="3" borderId="2" xfId="0" applyNumberFormat="1" applyFont="1" applyFill="1" applyBorder="1" applyAlignment="1">
      <alignment horizontal="right" vertical="center"/>
    </xf>
    <xf numFmtId="164" fontId="3" fillId="4" borderId="2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left" vertical="center"/>
    </xf>
    <xf numFmtId="164" fontId="11" fillId="5" borderId="1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left" vertical="center"/>
    </xf>
    <xf numFmtId="164" fontId="11" fillId="2" borderId="1" xfId="0" applyNumberFormat="1" applyFont="1" applyFill="1" applyBorder="1" applyAlignment="1">
      <alignment horizontal="right" vertical="center"/>
    </xf>
    <xf numFmtId="164" fontId="12" fillId="6" borderId="2" xfId="0" applyNumberFormat="1" applyFont="1" applyFill="1" applyBorder="1" applyAlignment="1">
      <alignment horizontal="righ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left" vertical="center"/>
    </xf>
    <xf numFmtId="164" fontId="16" fillId="5" borderId="1" xfId="0" applyNumberFormat="1" applyFont="1" applyFill="1" applyBorder="1" applyAlignment="1">
      <alignment horizontal="right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left" vertical="center"/>
    </xf>
    <xf numFmtId="0" fontId="17" fillId="2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20" fillId="2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 wrapText="1"/>
    </xf>
    <xf numFmtId="164" fontId="20" fillId="2" borderId="1" xfId="0" applyNumberFormat="1" applyFont="1" applyFill="1" applyBorder="1" applyAlignment="1">
      <alignment horizontal="right" vertical="center"/>
    </xf>
    <xf numFmtId="0" fontId="21" fillId="0" borderId="0" xfId="0" applyFont="1"/>
    <xf numFmtId="14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left" vertical="center" wrapText="1"/>
    </xf>
    <xf numFmtId="0" fontId="22" fillId="5" borderId="1" xfId="0" applyFont="1" applyFill="1" applyBorder="1" applyAlignment="1">
      <alignment horizontal="center" vertical="center"/>
    </xf>
    <xf numFmtId="164" fontId="22" fillId="5" borderId="1" xfId="0" applyNumberFormat="1" applyFont="1" applyFill="1" applyBorder="1" applyAlignment="1">
      <alignment horizontal="right" vertical="center"/>
    </xf>
    <xf numFmtId="0" fontId="23" fillId="0" borderId="0" xfId="0" applyFont="1"/>
    <xf numFmtId="14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164" fontId="24" fillId="2" borderId="1" xfId="0" applyNumberFormat="1" applyFont="1" applyFill="1" applyBorder="1" applyAlignment="1">
      <alignment horizontal="right" vertical="center"/>
    </xf>
    <xf numFmtId="0" fontId="25" fillId="0" borderId="0" xfId="0" applyFont="1"/>
    <xf numFmtId="0" fontId="0" fillId="0" borderId="0" xfId="0"/>
    <xf numFmtId="0" fontId="27" fillId="2" borderId="1" xfId="1" applyFill="1" applyBorder="1" applyAlignment="1">
      <alignment horizontal="center" vertical="center"/>
    </xf>
    <xf numFmtId="0" fontId="30" fillId="2" borderId="1" xfId="1" applyFont="1" applyFill="1" applyBorder="1" applyAlignment="1">
      <alignment horizontal="center" vertical="center"/>
    </xf>
    <xf numFmtId="0" fontId="28" fillId="0" borderId="0" xfId="0" applyFont="1"/>
    <xf numFmtId="0" fontId="29" fillId="0" borderId="0" xfId="0" applyFont="1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6" fillId="3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26" fillId="3" borderId="2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0" fillId="0" borderId="8" xfId="0" applyBorder="1"/>
    <xf numFmtId="164" fontId="12" fillId="6" borderId="7" xfId="0" applyNumberFormat="1" applyFont="1" applyFill="1" applyBorder="1" applyAlignment="1">
      <alignment horizontal="right" vertical="center"/>
    </xf>
    <xf numFmtId="0" fontId="0" fillId="3" borderId="7" xfId="0" applyFill="1" applyBorder="1"/>
    <xf numFmtId="0" fontId="15" fillId="2" borderId="9" xfId="0" applyFont="1" applyFill="1" applyBorder="1" applyAlignment="1">
      <alignment horizontal="center" vertical="center"/>
    </xf>
    <xf numFmtId="0" fontId="16" fillId="2" borderId="9" xfId="0" applyFont="1" applyFill="1" applyBorder="1" applyAlignment="1">
      <alignment horizontal="left" vertical="center"/>
    </xf>
    <xf numFmtId="164" fontId="16" fillId="2" borderId="9" xfId="0" applyNumberFormat="1" applyFont="1" applyFill="1" applyBorder="1" applyAlignment="1">
      <alignment horizontal="right" vertical="center"/>
    </xf>
    <xf numFmtId="0" fontId="16" fillId="2" borderId="9" xfId="0" applyFont="1" applyFill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/>
    </xf>
    <xf numFmtId="0" fontId="0" fillId="0" borderId="9" xfId="0" applyBorder="1"/>
    <xf numFmtId="0" fontId="15" fillId="2" borderId="11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/>
    </xf>
    <xf numFmtId="164" fontId="16" fillId="2" borderId="11" xfId="0" applyNumberFormat="1" applyFont="1" applyFill="1" applyBorder="1" applyAlignment="1">
      <alignment horizontal="right" vertical="center"/>
    </xf>
    <xf numFmtId="164" fontId="16" fillId="2" borderId="10" xfId="0" applyNumberFormat="1" applyFont="1" applyFill="1" applyBorder="1" applyAlignment="1">
      <alignment horizontal="right" vertical="center"/>
    </xf>
    <xf numFmtId="0" fontId="16" fillId="2" borderId="11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/>
    </xf>
    <xf numFmtId="0" fontId="31" fillId="2" borderId="9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</xdr:row>
      <xdr:rowOff>0</xdr:rowOff>
    </xdr:from>
    <xdr:ext cx="3333750" cy="5715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</xdr:row>
      <xdr:rowOff>0</xdr:rowOff>
    </xdr:from>
    <xdr:ext cx="5715000" cy="47625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ticket_1y2.p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"/>
  <sheetViews>
    <sheetView showGridLines="0" tabSelected="1" workbookViewId="0">
      <selection activeCell="E10" sqref="E10"/>
    </sheetView>
  </sheetViews>
  <sheetFormatPr baseColWidth="10" defaultColWidth="9.140625" defaultRowHeight="15" x14ac:dyDescent="0.25"/>
  <cols>
    <col min="1" max="1" width="12" style="46" customWidth="1"/>
    <col min="2" max="2" width="32" style="46" customWidth="1"/>
    <col min="3" max="3" width="18" style="46" customWidth="1"/>
    <col min="4" max="5" width="16" style="46" customWidth="1"/>
    <col min="6" max="6" width="30" style="46" customWidth="1"/>
  </cols>
  <sheetData>
    <row r="1" spans="1:6" ht="69.95" customHeight="1" x14ac:dyDescent="0.25">
      <c r="A1" s="56" t="s">
        <v>0</v>
      </c>
      <c r="B1" s="52"/>
      <c r="C1" s="52"/>
      <c r="D1" s="52"/>
      <c r="E1" s="52"/>
      <c r="F1" s="52"/>
    </row>
    <row r="2" spans="1:6" ht="21.95" customHeight="1" x14ac:dyDescent="0.25">
      <c r="A2" s="51" t="s">
        <v>1</v>
      </c>
      <c r="B2" s="52"/>
      <c r="C2" s="52"/>
      <c r="D2" s="52"/>
      <c r="E2" s="52"/>
      <c r="F2" s="52"/>
    </row>
    <row r="3" spans="1:6" ht="21.95" customHeight="1" x14ac:dyDescent="0.25">
      <c r="A3" s="57" t="s">
        <v>2</v>
      </c>
      <c r="B3" s="52"/>
      <c r="C3" s="52"/>
      <c r="D3" s="52"/>
      <c r="E3" s="52"/>
      <c r="F3" s="52"/>
    </row>
    <row r="4" spans="1:6" ht="8.1" customHeight="1" x14ac:dyDescent="0.25"/>
    <row r="5" spans="1:6" ht="30" customHeight="1" x14ac:dyDescent="0.25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</row>
    <row r="6" spans="1:6" s="45" customFormat="1" ht="20.100000000000001" customHeight="1" x14ac:dyDescent="0.25">
      <c r="A6" s="41">
        <v>46093</v>
      </c>
      <c r="B6" s="42" t="s">
        <v>9</v>
      </c>
      <c r="C6" s="43"/>
      <c r="D6" s="44">
        <v>700</v>
      </c>
      <c r="E6" s="44"/>
      <c r="F6" s="42"/>
    </row>
    <row r="7" spans="1:6" s="40" customFormat="1" ht="20.100000000000001" customHeight="1" x14ac:dyDescent="0.25">
      <c r="A7" s="36">
        <v>46100</v>
      </c>
      <c r="B7" s="37" t="s">
        <v>10</v>
      </c>
      <c r="C7" s="38"/>
      <c r="D7" s="39"/>
      <c r="E7" s="39"/>
      <c r="F7" s="37" t="s">
        <v>11</v>
      </c>
    </row>
    <row r="8" spans="1:6" s="35" customFormat="1" ht="20.100000000000001" customHeight="1" x14ac:dyDescent="0.25">
      <c r="A8" s="32">
        <v>46106</v>
      </c>
      <c r="B8" s="33" t="s">
        <v>12</v>
      </c>
      <c r="C8" s="48" t="s">
        <v>13</v>
      </c>
      <c r="D8" s="34"/>
      <c r="E8" s="34">
        <v>150</v>
      </c>
      <c r="F8" s="33"/>
    </row>
    <row r="9" spans="1:6" s="40" customFormat="1" ht="20.100000000000001" customHeight="1" x14ac:dyDescent="0.25">
      <c r="A9" s="36">
        <v>46134</v>
      </c>
      <c r="B9" s="37" t="s">
        <v>14</v>
      </c>
      <c r="C9" s="38"/>
      <c r="D9" s="39"/>
      <c r="E9" s="39"/>
      <c r="F9" s="37" t="s">
        <v>11</v>
      </c>
    </row>
    <row r="10" spans="1:6" s="35" customFormat="1" ht="20.100000000000001" customHeight="1" x14ac:dyDescent="0.25">
      <c r="A10" s="32">
        <v>46138</v>
      </c>
      <c r="B10" s="33" t="s">
        <v>15</v>
      </c>
      <c r="C10" s="47" t="s">
        <v>16</v>
      </c>
      <c r="D10" s="34"/>
      <c r="E10" s="34">
        <v>130</v>
      </c>
      <c r="F10" s="33"/>
    </row>
    <row r="11" spans="1:6" s="40" customFormat="1" ht="20.100000000000001" customHeight="1" x14ac:dyDescent="0.25">
      <c r="A11" s="36">
        <v>46139</v>
      </c>
      <c r="B11" s="37" t="s">
        <v>17</v>
      </c>
      <c r="C11" s="38"/>
      <c r="D11" s="39"/>
      <c r="E11" s="39"/>
      <c r="F11" s="37" t="s">
        <v>11</v>
      </c>
    </row>
    <row r="12" spans="1:6" ht="20.100000000000001" customHeight="1" x14ac:dyDescent="0.25">
      <c r="A12" s="2"/>
      <c r="B12" s="3"/>
      <c r="C12" s="4"/>
      <c r="D12" s="5"/>
      <c r="E12" s="5"/>
      <c r="F12" s="3"/>
    </row>
    <row r="13" spans="1:6" ht="20.100000000000001" customHeight="1" x14ac:dyDescent="0.25">
      <c r="A13" s="6"/>
      <c r="B13" s="7"/>
      <c r="C13" s="8"/>
      <c r="D13" s="9"/>
      <c r="E13" s="9"/>
      <c r="F13" s="7"/>
    </row>
    <row r="14" spans="1:6" ht="20.100000000000001" customHeight="1" x14ac:dyDescent="0.25">
      <c r="A14" s="2"/>
      <c r="B14" s="3"/>
      <c r="C14" s="4"/>
      <c r="D14" s="5"/>
      <c r="E14" s="5"/>
      <c r="F14" s="3"/>
    </row>
    <row r="15" spans="1:6" ht="20.100000000000001" customHeight="1" x14ac:dyDescent="0.25">
      <c r="A15" s="6"/>
      <c r="B15" s="7"/>
      <c r="C15" s="8"/>
      <c r="D15" s="9"/>
      <c r="E15" s="9"/>
      <c r="F15" s="7"/>
    </row>
    <row r="16" spans="1:6" ht="20.100000000000001" customHeight="1" x14ac:dyDescent="0.25">
      <c r="A16" s="2"/>
      <c r="B16" s="3"/>
      <c r="C16" s="4"/>
      <c r="D16" s="5"/>
      <c r="E16" s="5"/>
      <c r="F16" s="3"/>
    </row>
    <row r="17" spans="1:6" ht="20.100000000000001" customHeight="1" x14ac:dyDescent="0.25">
      <c r="A17" s="6"/>
      <c r="B17" s="7"/>
      <c r="C17" s="8"/>
      <c r="D17" s="9"/>
      <c r="E17" s="9"/>
      <c r="F17" s="7"/>
    </row>
    <row r="18" spans="1:6" ht="20.100000000000001" customHeight="1" x14ac:dyDescent="0.25">
      <c r="A18" s="2"/>
      <c r="B18" s="3"/>
      <c r="C18" s="4"/>
      <c r="D18" s="5"/>
      <c r="E18" s="5"/>
      <c r="F18" s="3"/>
    </row>
    <row r="19" spans="1:6" ht="20.100000000000001" customHeight="1" x14ac:dyDescent="0.25">
      <c r="A19" s="6"/>
      <c r="B19" s="7"/>
      <c r="C19" s="8"/>
      <c r="D19" s="9"/>
      <c r="E19" s="9"/>
      <c r="F19" s="7"/>
    </row>
    <row r="20" spans="1:6" ht="20.100000000000001" customHeight="1" x14ac:dyDescent="0.25">
      <c r="A20" s="2"/>
      <c r="B20" s="3"/>
      <c r="C20" s="4"/>
      <c r="D20" s="5"/>
      <c r="E20" s="5"/>
      <c r="F20" s="3"/>
    </row>
    <row r="21" spans="1:6" ht="20.100000000000001" customHeight="1" x14ac:dyDescent="0.25">
      <c r="A21" s="6"/>
      <c r="B21" s="7"/>
      <c r="C21" s="8"/>
      <c r="D21" s="9"/>
      <c r="E21" s="9"/>
      <c r="F21" s="7"/>
    </row>
    <row r="22" spans="1:6" ht="20.100000000000001" customHeight="1" x14ac:dyDescent="0.25">
      <c r="A22" s="2"/>
      <c r="B22" s="3"/>
      <c r="C22" s="4"/>
      <c r="D22" s="5"/>
      <c r="E22" s="5"/>
      <c r="F22" s="3"/>
    </row>
    <row r="23" spans="1:6" ht="20.100000000000001" customHeight="1" x14ac:dyDescent="0.25">
      <c r="A23" s="6"/>
      <c r="B23" s="7"/>
      <c r="C23" s="8"/>
      <c r="D23" s="9"/>
      <c r="E23" s="9"/>
      <c r="F23" s="7"/>
    </row>
    <row r="24" spans="1:6" ht="20.100000000000001" customHeight="1" x14ac:dyDescent="0.25">
      <c r="A24" s="2"/>
      <c r="B24" s="3"/>
      <c r="C24" s="4"/>
      <c r="D24" s="5"/>
      <c r="E24" s="5"/>
      <c r="F24" s="3"/>
    </row>
    <row r="25" spans="1:6" ht="20.100000000000001" customHeight="1" x14ac:dyDescent="0.25">
      <c r="A25" s="6"/>
      <c r="B25" s="7"/>
      <c r="C25" s="8"/>
      <c r="D25" s="9"/>
      <c r="E25" s="9"/>
      <c r="F25" s="7"/>
    </row>
    <row r="26" spans="1:6" ht="20.100000000000001" customHeight="1" x14ac:dyDescent="0.25">
      <c r="A26" s="2"/>
      <c r="B26" s="3"/>
      <c r="C26" s="4"/>
      <c r="D26" s="5"/>
      <c r="E26" s="5"/>
      <c r="F26" s="3"/>
    </row>
    <row r="27" spans="1:6" ht="20.100000000000001" customHeight="1" x14ac:dyDescent="0.25">
      <c r="A27" s="6"/>
      <c r="B27" s="7"/>
      <c r="C27" s="8"/>
      <c r="D27" s="9"/>
      <c r="E27" s="9"/>
      <c r="F27" s="7"/>
    </row>
    <row r="28" spans="1:6" ht="20.100000000000001" customHeight="1" x14ac:dyDescent="0.25">
      <c r="A28" s="2"/>
      <c r="B28" s="3"/>
      <c r="C28" s="4"/>
      <c r="D28" s="5"/>
      <c r="E28" s="5"/>
      <c r="F28" s="3"/>
    </row>
    <row r="29" spans="1:6" ht="20.100000000000001" customHeight="1" x14ac:dyDescent="0.25">
      <c r="A29" s="6"/>
      <c r="B29" s="7"/>
      <c r="C29" s="8"/>
      <c r="D29" s="9"/>
      <c r="E29" s="9"/>
      <c r="F29" s="7"/>
    </row>
    <row r="30" spans="1:6" ht="20.100000000000001" customHeight="1" x14ac:dyDescent="0.25">
      <c r="A30" s="2"/>
      <c r="B30" s="3"/>
      <c r="C30" s="4"/>
      <c r="D30" s="5"/>
      <c r="E30" s="5"/>
      <c r="F30" s="3"/>
    </row>
    <row r="31" spans="1:6" ht="20.100000000000001" customHeight="1" x14ac:dyDescent="0.25">
      <c r="A31" s="6"/>
      <c r="B31" s="7"/>
      <c r="C31" s="8"/>
      <c r="D31" s="9"/>
      <c r="E31" s="9"/>
      <c r="F31" s="7"/>
    </row>
    <row r="32" spans="1:6" ht="20.100000000000001" customHeight="1" x14ac:dyDescent="0.25">
      <c r="A32" s="2"/>
      <c r="B32" s="3"/>
      <c r="C32" s="4"/>
      <c r="D32" s="5"/>
      <c r="E32" s="5"/>
      <c r="F32" s="3"/>
    </row>
    <row r="33" spans="1:6" ht="20.100000000000001" customHeight="1" x14ac:dyDescent="0.25">
      <c r="A33" s="6"/>
      <c r="B33" s="7"/>
      <c r="C33" s="8"/>
      <c r="D33" s="9"/>
      <c r="E33" s="9"/>
      <c r="F33" s="7"/>
    </row>
    <row r="34" spans="1:6" ht="20.100000000000001" customHeight="1" x14ac:dyDescent="0.25">
      <c r="A34" s="2"/>
      <c r="B34" s="3"/>
      <c r="C34" s="4"/>
      <c r="D34" s="5"/>
      <c r="E34" s="5"/>
      <c r="F34" s="3"/>
    </row>
    <row r="35" spans="1:6" ht="20.100000000000001" customHeight="1" x14ac:dyDescent="0.25">
      <c r="A35" s="6"/>
      <c r="B35" s="7"/>
      <c r="C35" s="8"/>
      <c r="D35" s="9"/>
      <c r="E35" s="9"/>
      <c r="F35" s="7"/>
    </row>
    <row r="36" spans="1:6" ht="20.100000000000001" customHeight="1" x14ac:dyDescent="0.25">
      <c r="A36" s="2"/>
      <c r="B36" s="3"/>
      <c r="C36" s="4"/>
      <c r="D36" s="5"/>
      <c r="E36" s="5"/>
      <c r="F36" s="3"/>
    </row>
    <row r="37" spans="1:6" ht="20.100000000000001" customHeight="1" x14ac:dyDescent="0.25">
      <c r="A37" s="6"/>
      <c r="B37" s="7"/>
      <c r="C37" s="8"/>
      <c r="D37" s="9"/>
      <c r="E37" s="9"/>
      <c r="F37" s="7"/>
    </row>
    <row r="38" spans="1:6" ht="20.100000000000001" customHeight="1" x14ac:dyDescent="0.25">
      <c r="A38" s="2"/>
      <c r="B38" s="3"/>
      <c r="C38" s="4"/>
      <c r="D38" s="5"/>
      <c r="E38" s="5"/>
      <c r="F38" s="3"/>
    </row>
    <row r="39" spans="1:6" ht="20.100000000000001" customHeight="1" x14ac:dyDescent="0.25">
      <c r="A39" s="6"/>
      <c r="B39" s="7"/>
      <c r="C39" s="8"/>
      <c r="D39" s="9"/>
      <c r="E39" s="9"/>
      <c r="F39" s="7"/>
    </row>
    <row r="40" spans="1:6" ht="20.100000000000001" customHeight="1" x14ac:dyDescent="0.25">
      <c r="A40" s="2"/>
      <c r="B40" s="3"/>
      <c r="C40" s="4"/>
      <c r="D40" s="5"/>
      <c r="E40" s="5"/>
      <c r="F40" s="3"/>
    </row>
    <row r="41" spans="1:6" ht="20.100000000000001" customHeight="1" x14ac:dyDescent="0.25">
      <c r="A41" s="6"/>
      <c r="B41" s="7"/>
      <c r="C41" s="8"/>
      <c r="D41" s="9"/>
      <c r="E41" s="9"/>
      <c r="F41" s="7"/>
    </row>
    <row r="42" spans="1:6" ht="20.100000000000001" customHeight="1" x14ac:dyDescent="0.25">
      <c r="A42" s="2"/>
      <c r="B42" s="3"/>
      <c r="C42" s="4"/>
      <c r="D42" s="5"/>
      <c r="E42" s="5"/>
      <c r="F42" s="3"/>
    </row>
    <row r="43" spans="1:6" ht="20.100000000000001" customHeight="1" x14ac:dyDescent="0.25">
      <c r="A43" s="6"/>
      <c r="B43" s="7"/>
      <c r="C43" s="8"/>
      <c r="D43" s="9"/>
      <c r="E43" s="9"/>
      <c r="F43" s="7"/>
    </row>
    <row r="44" spans="1:6" ht="20.100000000000001" customHeight="1" x14ac:dyDescent="0.25">
      <c r="A44" s="2"/>
      <c r="B44" s="3"/>
      <c r="C44" s="4"/>
      <c r="D44" s="5"/>
      <c r="E44" s="5"/>
      <c r="F44" s="3"/>
    </row>
    <row r="45" spans="1:6" ht="20.100000000000001" customHeight="1" x14ac:dyDescent="0.25">
      <c r="A45" s="6"/>
      <c r="B45" s="7"/>
      <c r="C45" s="8"/>
      <c r="D45" s="9"/>
      <c r="E45" s="9"/>
      <c r="F45" s="7"/>
    </row>
    <row r="46" spans="1:6" ht="8.1" customHeight="1" x14ac:dyDescent="0.25"/>
    <row r="47" spans="1:6" ht="27.95" customHeight="1" x14ac:dyDescent="0.25">
      <c r="A47" s="53" t="s">
        <v>18</v>
      </c>
      <c r="B47" s="54"/>
      <c r="C47" s="55"/>
      <c r="D47" s="10">
        <f>SUM(D6:D45)</f>
        <v>700</v>
      </c>
      <c r="E47" s="10">
        <f>SUM(E6:E45)</f>
        <v>280</v>
      </c>
      <c r="F47" s="11">
        <f>D47-E47</f>
        <v>420</v>
      </c>
    </row>
    <row r="48" spans="1:6" ht="15.75" customHeight="1" x14ac:dyDescent="0.25">
      <c r="A48" s="58" t="s">
        <v>19</v>
      </c>
      <c r="B48" s="59"/>
      <c r="C48" s="60"/>
      <c r="F48" s="12">
        <f>D47-E47</f>
        <v>420</v>
      </c>
    </row>
  </sheetData>
  <mergeCells count="5">
    <mergeCell ref="A2:F2"/>
    <mergeCell ref="A47:C47"/>
    <mergeCell ref="A1:F1"/>
    <mergeCell ref="A3:F3"/>
    <mergeCell ref="A48:C48"/>
  </mergeCells>
  <hyperlinks>
    <hyperlink ref="C8" location="'Ticket Cena'!A1" display="🧾 Ver Ticket Cena"/>
    <hyperlink ref="C10" r:id="rId1"/>
  </hyperlinks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showGridLines="0" workbookViewId="0">
      <selection activeCell="D14" sqref="D14"/>
    </sheetView>
  </sheetViews>
  <sheetFormatPr baseColWidth="10" defaultColWidth="9.140625" defaultRowHeight="15" x14ac:dyDescent="0.25"/>
  <cols>
    <col min="1" max="1" width="28" style="46" customWidth="1"/>
    <col min="2" max="4" width="18" style="46" customWidth="1"/>
  </cols>
  <sheetData>
    <row r="1" spans="1:4" ht="60" customHeight="1" x14ac:dyDescent="0.25">
      <c r="A1" s="62" t="s">
        <v>20</v>
      </c>
      <c r="B1" s="52"/>
      <c r="C1" s="52"/>
      <c r="D1" s="52"/>
    </row>
    <row r="2" spans="1:4" ht="21.95" customHeight="1" x14ac:dyDescent="0.25">
      <c r="A2" s="63" t="s">
        <v>2</v>
      </c>
      <c r="B2" s="52"/>
      <c r="C2" s="52"/>
      <c r="D2" s="52"/>
    </row>
    <row r="3" spans="1:4" ht="8.1" customHeight="1" x14ac:dyDescent="0.25"/>
    <row r="4" spans="1:4" ht="27.95" customHeight="1" x14ac:dyDescent="0.25">
      <c r="A4" s="1" t="s">
        <v>5</v>
      </c>
      <c r="B4" s="1" t="s">
        <v>21</v>
      </c>
      <c r="C4" s="1" t="s">
        <v>22</v>
      </c>
      <c r="D4" s="1" t="s">
        <v>23</v>
      </c>
    </row>
    <row r="5" spans="1:4" ht="21.95" customHeight="1" x14ac:dyDescent="0.25">
      <c r="A5" s="13" t="s">
        <v>24</v>
      </c>
      <c r="B5" s="9">
        <v>0</v>
      </c>
      <c r="C5" s="9">
        <v>0</v>
      </c>
      <c r="D5" s="14">
        <f>B5-C5</f>
        <v>0</v>
      </c>
    </row>
    <row r="6" spans="1:4" ht="21.95" customHeight="1" x14ac:dyDescent="0.25">
      <c r="A6" s="15" t="s">
        <v>25</v>
      </c>
      <c r="B6" s="5">
        <v>0</v>
      </c>
      <c r="C6" s="5">
        <v>0</v>
      </c>
      <c r="D6" s="16">
        <f>B6-C6</f>
        <v>0</v>
      </c>
    </row>
    <row r="7" spans="1:4" ht="21.95" customHeight="1" x14ac:dyDescent="0.25">
      <c r="A7" s="13" t="s">
        <v>26</v>
      </c>
      <c r="B7" s="9">
        <v>0</v>
      </c>
      <c r="C7" s="9">
        <v>0</v>
      </c>
      <c r="D7" s="14">
        <v>0</v>
      </c>
    </row>
    <row r="8" spans="1:4" ht="21.95" customHeight="1" x14ac:dyDescent="0.25">
      <c r="A8" s="15" t="s">
        <v>27</v>
      </c>
      <c r="B8" s="5">
        <v>0</v>
      </c>
      <c r="C8" s="5">
        <v>0</v>
      </c>
      <c r="D8" s="16">
        <f>B8-C8</f>
        <v>0</v>
      </c>
    </row>
    <row r="9" spans="1:4" ht="21.95" customHeight="1" x14ac:dyDescent="0.25">
      <c r="A9" s="13" t="s">
        <v>28</v>
      </c>
      <c r="B9" s="9">
        <v>0</v>
      </c>
      <c r="C9" s="9">
        <v>0</v>
      </c>
      <c r="D9" s="14">
        <f>B9-C9</f>
        <v>0</v>
      </c>
    </row>
    <row r="10" spans="1:4" ht="21.95" customHeight="1" x14ac:dyDescent="0.25">
      <c r="A10" s="15" t="s">
        <v>29</v>
      </c>
      <c r="B10" s="5">
        <v>0</v>
      </c>
      <c r="C10" s="5">
        <v>0</v>
      </c>
      <c r="D10" s="16">
        <f>B10-C10</f>
        <v>0</v>
      </c>
    </row>
    <row r="11" spans="1:4" ht="21.95" customHeight="1" x14ac:dyDescent="0.25">
      <c r="A11" s="13" t="s">
        <v>30</v>
      </c>
      <c r="B11" s="9">
        <v>0</v>
      </c>
      <c r="C11" s="9">
        <v>0</v>
      </c>
      <c r="D11" s="14">
        <f>B11-C11</f>
        <v>0</v>
      </c>
    </row>
    <row r="12" spans="1:4" ht="27.95" customHeight="1" x14ac:dyDescent="0.25">
      <c r="A12" s="61" t="s">
        <v>31</v>
      </c>
      <c r="B12" s="17">
        <f>SUM(B5:B11)</f>
        <v>0</v>
      </c>
      <c r="C12" s="17">
        <v>280</v>
      </c>
      <c r="D12" s="17">
        <v>370</v>
      </c>
    </row>
  </sheetData>
  <mergeCells count="3">
    <mergeCell ref="A12"/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showGridLines="0" topLeftCell="A13" workbookViewId="0">
      <selection activeCell="G21" sqref="G21"/>
    </sheetView>
  </sheetViews>
  <sheetFormatPr baseColWidth="10" defaultColWidth="9.140625" defaultRowHeight="15" x14ac:dyDescent="0.25"/>
  <cols>
    <col min="1" max="1" width="6" style="46" customWidth="1"/>
    <col min="2" max="2" width="30" style="46" customWidth="1"/>
    <col min="3" max="6" width="14" style="46" customWidth="1"/>
    <col min="7" max="7" width="16" style="46" customWidth="1"/>
  </cols>
  <sheetData>
    <row r="1" spans="1:7" ht="60" customHeight="1" x14ac:dyDescent="0.25">
      <c r="A1" s="62" t="s">
        <v>32</v>
      </c>
      <c r="B1" s="52"/>
      <c r="C1" s="52"/>
      <c r="D1" s="52"/>
      <c r="E1" s="52"/>
      <c r="F1" s="52"/>
      <c r="G1" s="52"/>
    </row>
    <row r="2" spans="1:7" ht="21.95" customHeight="1" x14ac:dyDescent="0.25">
      <c r="A2" s="64" t="s">
        <v>33</v>
      </c>
      <c r="B2" s="52"/>
      <c r="C2" s="52"/>
      <c r="D2" s="52"/>
      <c r="E2" s="52"/>
      <c r="F2" s="52"/>
      <c r="G2" s="52"/>
    </row>
    <row r="3" spans="1:7" ht="8.1" customHeight="1" x14ac:dyDescent="0.25"/>
    <row r="4" spans="1:7" ht="30" customHeight="1" x14ac:dyDescent="0.25">
      <c r="A4" s="18" t="s">
        <v>34</v>
      </c>
      <c r="B4" s="18" t="s">
        <v>35</v>
      </c>
      <c r="C4" s="18" t="s">
        <v>36</v>
      </c>
      <c r="D4" s="18" t="s">
        <v>37</v>
      </c>
      <c r="E4" s="18" t="s">
        <v>38</v>
      </c>
      <c r="F4" s="18" t="s">
        <v>39</v>
      </c>
      <c r="G4" s="29" t="s">
        <v>40</v>
      </c>
    </row>
    <row r="5" spans="1:7" ht="21.95" customHeight="1" x14ac:dyDescent="0.25">
      <c r="A5" s="19">
        <v>1</v>
      </c>
      <c r="B5" s="13" t="s">
        <v>41</v>
      </c>
      <c r="C5" s="9">
        <v>50</v>
      </c>
      <c r="D5" s="31" t="s">
        <v>42</v>
      </c>
      <c r="E5" s="9">
        <v>50</v>
      </c>
      <c r="F5" s="8" t="s">
        <v>43</v>
      </c>
      <c r="G5" s="20"/>
    </row>
    <row r="6" spans="1:7" ht="21.95" customHeight="1" x14ac:dyDescent="0.25">
      <c r="A6" s="21">
        <v>2</v>
      </c>
      <c r="B6" s="15" t="s">
        <v>44</v>
      </c>
      <c r="C6" s="5">
        <v>50</v>
      </c>
      <c r="D6" s="30" t="s">
        <v>42</v>
      </c>
      <c r="E6" s="5">
        <v>50</v>
      </c>
      <c r="F6" s="4" t="s">
        <v>43</v>
      </c>
      <c r="G6" s="22"/>
    </row>
    <row r="7" spans="1:7" ht="21.95" customHeight="1" x14ac:dyDescent="0.25">
      <c r="A7" s="19">
        <v>3</v>
      </c>
      <c r="B7" s="13" t="s">
        <v>45</v>
      </c>
      <c r="C7" s="9">
        <v>50</v>
      </c>
      <c r="D7" s="31" t="s">
        <v>42</v>
      </c>
      <c r="E7" s="9">
        <v>50</v>
      </c>
      <c r="F7" s="8" t="s">
        <v>43</v>
      </c>
      <c r="G7" s="20"/>
    </row>
    <row r="8" spans="1:7" ht="21.95" customHeight="1" x14ac:dyDescent="0.25">
      <c r="A8" s="21">
        <v>4</v>
      </c>
      <c r="B8" s="15" t="s">
        <v>46</v>
      </c>
      <c r="C8" s="5">
        <v>50</v>
      </c>
      <c r="D8" s="30" t="s">
        <v>42</v>
      </c>
      <c r="E8" s="5">
        <v>50</v>
      </c>
      <c r="F8" s="4" t="s">
        <v>43</v>
      </c>
      <c r="G8" s="22"/>
    </row>
    <row r="9" spans="1:7" ht="21.95" customHeight="1" x14ac:dyDescent="0.25">
      <c r="A9" s="19">
        <v>5</v>
      </c>
      <c r="B9" s="13" t="s">
        <v>47</v>
      </c>
      <c r="C9" s="9">
        <v>50</v>
      </c>
      <c r="D9" s="31" t="s">
        <v>42</v>
      </c>
      <c r="E9" s="9">
        <v>50</v>
      </c>
      <c r="F9" s="8" t="s">
        <v>43</v>
      </c>
      <c r="G9" s="20"/>
    </row>
    <row r="10" spans="1:7" ht="21.95" customHeight="1" x14ac:dyDescent="0.25">
      <c r="A10" s="21">
        <v>6</v>
      </c>
      <c r="B10" s="15" t="s">
        <v>48</v>
      </c>
      <c r="C10" s="5">
        <v>50</v>
      </c>
      <c r="D10" s="30" t="s">
        <v>42</v>
      </c>
      <c r="E10" s="5">
        <v>50</v>
      </c>
      <c r="F10" s="4" t="s">
        <v>43</v>
      </c>
      <c r="G10" s="22"/>
    </row>
    <row r="11" spans="1:7" ht="21.95" customHeight="1" x14ac:dyDescent="0.25">
      <c r="A11" s="19">
        <v>7</v>
      </c>
      <c r="B11" s="13" t="s">
        <v>49</v>
      </c>
      <c r="C11" s="9">
        <v>50</v>
      </c>
      <c r="D11" s="31" t="s">
        <v>42</v>
      </c>
      <c r="E11" s="9">
        <v>50</v>
      </c>
      <c r="F11" s="8" t="s">
        <v>43</v>
      </c>
      <c r="G11" s="20"/>
    </row>
    <row r="12" spans="1:7" ht="21.95" customHeight="1" x14ac:dyDescent="0.25">
      <c r="A12" s="21">
        <v>8</v>
      </c>
      <c r="B12" s="15" t="s">
        <v>50</v>
      </c>
      <c r="C12" s="5">
        <v>50</v>
      </c>
      <c r="D12" s="30" t="s">
        <v>42</v>
      </c>
      <c r="E12" s="5">
        <v>50</v>
      </c>
      <c r="F12" s="4" t="s">
        <v>43</v>
      </c>
      <c r="G12" s="22"/>
    </row>
    <row r="13" spans="1:7" ht="21.95" customHeight="1" x14ac:dyDescent="0.25">
      <c r="A13" s="19">
        <v>9</v>
      </c>
      <c r="B13" s="13" t="s">
        <v>51</v>
      </c>
      <c r="C13" s="9">
        <v>50</v>
      </c>
      <c r="D13" s="31" t="s">
        <v>42</v>
      </c>
      <c r="E13" s="9">
        <v>50</v>
      </c>
      <c r="F13" s="8" t="s">
        <v>43</v>
      </c>
      <c r="G13" s="20"/>
    </row>
    <row r="14" spans="1:7" ht="21.95" customHeight="1" x14ac:dyDescent="0.25">
      <c r="A14" s="21">
        <v>10</v>
      </c>
      <c r="B14" s="15" t="s">
        <v>52</v>
      </c>
      <c r="C14" s="5">
        <v>50</v>
      </c>
      <c r="D14" s="30" t="s">
        <v>42</v>
      </c>
      <c r="E14" s="5">
        <v>50</v>
      </c>
      <c r="F14" s="4" t="s">
        <v>43</v>
      </c>
      <c r="G14" s="22"/>
    </row>
    <row r="15" spans="1:7" ht="21.95" customHeight="1" x14ac:dyDescent="0.25">
      <c r="A15" s="19">
        <v>11</v>
      </c>
      <c r="B15" s="13" t="s">
        <v>53</v>
      </c>
      <c r="C15" s="9">
        <v>50</v>
      </c>
      <c r="D15" s="8" t="s">
        <v>54</v>
      </c>
      <c r="E15" s="9">
        <v>50</v>
      </c>
      <c r="F15" s="8" t="s">
        <v>43</v>
      </c>
      <c r="G15" s="20"/>
    </row>
    <row r="16" spans="1:7" ht="21.95" customHeight="1" x14ac:dyDescent="0.25">
      <c r="A16" s="19">
        <v>13</v>
      </c>
      <c r="B16" s="23" t="s">
        <v>55</v>
      </c>
      <c r="C16" s="24">
        <v>50</v>
      </c>
      <c r="D16" s="25" t="s">
        <v>56</v>
      </c>
      <c r="E16" s="24">
        <v>50</v>
      </c>
      <c r="F16" s="25" t="s">
        <v>43</v>
      </c>
      <c r="G16" s="26"/>
    </row>
    <row r="17" spans="1:7" ht="21.95" customHeight="1" x14ac:dyDescent="0.25">
      <c r="A17" s="75">
        <v>14</v>
      </c>
      <c r="B17" s="27" t="s">
        <v>57</v>
      </c>
      <c r="C17" s="77">
        <v>50</v>
      </c>
      <c r="D17" s="79" t="s">
        <v>56</v>
      </c>
      <c r="E17" s="77">
        <v>50</v>
      </c>
      <c r="F17" s="79" t="s">
        <v>43</v>
      </c>
      <c r="G17" s="28"/>
    </row>
    <row r="18" spans="1:7" s="74" customFormat="1" ht="21.95" customHeight="1" x14ac:dyDescent="0.25">
      <c r="A18" s="76">
        <v>15</v>
      </c>
      <c r="B18" s="70" t="s">
        <v>63</v>
      </c>
      <c r="C18" s="78">
        <v>50</v>
      </c>
      <c r="D18" s="80" t="s">
        <v>64</v>
      </c>
      <c r="E18" s="78">
        <v>50</v>
      </c>
      <c r="F18" s="80" t="s">
        <v>43</v>
      </c>
      <c r="G18" s="81"/>
    </row>
    <row r="19" spans="1:7" s="46" customFormat="1" ht="21.95" customHeight="1" x14ac:dyDescent="0.25">
      <c r="A19" s="69"/>
      <c r="B19" s="70"/>
      <c r="C19" s="71"/>
      <c r="D19" s="72"/>
      <c r="E19" s="71"/>
      <c r="F19" s="72"/>
      <c r="G19" s="73"/>
    </row>
    <row r="20" spans="1:7" ht="26.1" customHeight="1" thickBot="1" x14ac:dyDescent="0.3">
      <c r="A20" s="65" t="s">
        <v>58</v>
      </c>
      <c r="B20" s="66"/>
      <c r="C20" s="67">
        <v>700</v>
      </c>
      <c r="D20" s="68"/>
      <c r="E20" s="67">
        <v>0</v>
      </c>
      <c r="F20" s="68"/>
      <c r="G20" s="68"/>
    </row>
  </sheetData>
  <mergeCells count="3">
    <mergeCell ref="A20:B20"/>
    <mergeCell ref="A2:G2"/>
    <mergeCell ref="A1:G1"/>
  </mergeCells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workbookViewId="0"/>
  </sheetViews>
  <sheetFormatPr baseColWidth="10" defaultColWidth="9.140625" defaultRowHeight="15" x14ac:dyDescent="0.25"/>
  <cols>
    <col min="1" max="1" width="55" style="46" customWidth="1"/>
  </cols>
  <sheetData>
    <row r="1" spans="1:1" ht="17.25" x14ac:dyDescent="0.3">
      <c r="A1" s="49" t="s">
        <v>59</v>
      </c>
    </row>
    <row r="2" spans="1:1" x14ac:dyDescent="0.25">
      <c r="A2" s="50" t="s">
        <v>60</v>
      </c>
    </row>
    <row r="4" spans="1:1" ht="409.6" customHeight="1" x14ac:dyDescent="0.25"/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workbookViewId="0"/>
  </sheetViews>
  <sheetFormatPr baseColWidth="10" defaultColWidth="9.140625" defaultRowHeight="15" x14ac:dyDescent="0.25"/>
  <cols>
    <col min="1" max="1" width="80" style="46" customWidth="1"/>
  </cols>
  <sheetData>
    <row r="1" spans="1:1" ht="17.25" x14ac:dyDescent="0.3">
      <c r="A1" s="49" t="s">
        <v>61</v>
      </c>
    </row>
    <row r="2" spans="1:1" x14ac:dyDescent="0.25">
      <c r="A2" s="50" t="s">
        <v>62</v>
      </c>
    </row>
    <row r="4" spans="1:1" ht="380.1" customHeight="1" x14ac:dyDescent="0.25"/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Registro 2026</vt:lpstr>
      <vt:lpstr>Resumen Anual</vt:lpstr>
      <vt:lpstr>Socios y Cuotas</vt:lpstr>
      <vt:lpstr>Ticket Cena</vt:lpstr>
      <vt:lpstr>Tickets Compra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2026-04-11T23:18:30Z</dcterms:created>
  <dcterms:modified xsi:type="dcterms:W3CDTF">2026-05-10T11:15:03Z</dcterms:modified>
</cp:coreProperties>
</file>