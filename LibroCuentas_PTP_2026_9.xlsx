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Registro 2026" sheetId="1" state="visible" r:id="rId1"/>
    <sheet xmlns:r="http://schemas.openxmlformats.org/officeDocument/2006/relationships" name="Resumen Anual" sheetId="2" state="visible" r:id="rId2"/>
    <sheet xmlns:r="http://schemas.openxmlformats.org/officeDocument/2006/relationships" name="Socios y Cuotas" sheetId="3" state="visible" r:id="rId3"/>
    <sheet xmlns:r="http://schemas.openxmlformats.org/officeDocument/2006/relationships" name="Ticket Cena" sheetId="4" state="visible" r:id="rId4"/>
    <sheet xmlns:r="http://schemas.openxmlformats.org/officeDocument/2006/relationships" name="Tickets Compra" sheetId="5" state="visible" r:id="rId5"/>
    <sheet xmlns:r="http://schemas.openxmlformats.org/officeDocument/2006/relationships" name="Ticket Papelería" sheetId="6" state="visible" r:id="rId6"/>
    <sheet xmlns:r="http://schemas.openxmlformats.org/officeDocument/2006/relationships" name="Factura Entradas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00&quot; €&quot;"/>
    <numFmt numFmtId="166" formatCode="m/d/yyyy"/>
  </numFmts>
  <fonts count="4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7A0000"/>
      <sz val="22"/>
    </font>
    <font>
      <name val="Arial"/>
      <charset val="1"/>
      <family val="0"/>
      <i val="1"/>
      <color rgb="FFC9A227"/>
      <sz val="11"/>
    </font>
    <font>
      <name val="Arial"/>
      <charset val="1"/>
      <family val="0"/>
      <b val="1"/>
      <color rgb="FF7A0000"/>
      <sz val="12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3399"/>
      <sz val="10"/>
    </font>
    <font>
      <name val="Calibri"/>
      <charset val="1"/>
      <family val="2"/>
      <b val="1"/>
      <color rgb="FF0070C0"/>
      <sz val="11"/>
    </font>
    <font>
      <name val="Arial"/>
      <charset val="1"/>
      <family val="2"/>
      <b val="1"/>
      <color rgb="FF00B050"/>
      <sz val="10"/>
    </font>
    <font>
      <name val="Calibri"/>
      <charset val="1"/>
      <family val="2"/>
      <b val="1"/>
      <color rgb="FF00B050"/>
      <sz val="11"/>
    </font>
    <font>
      <name val="Arial"/>
      <charset val="1"/>
      <family val="0"/>
      <b val="1"/>
      <color rgb="FF990000"/>
      <sz val="10"/>
    </font>
    <font>
      <name val="Calibri"/>
      <charset val="1"/>
      <family val="2"/>
      <b val="1"/>
      <color rgb="FFFF0000"/>
      <sz val="11"/>
    </font>
    <font>
      <name val="Calibri"/>
      <charset val="1"/>
      <family val="2"/>
      <b val="1"/>
      <color theme="1"/>
      <sz val="11"/>
    </font>
    <font>
      <name val="Cambria"/>
      <charset val="1"/>
      <family val="0"/>
      <b val="1"/>
      <color rgb="FF003399"/>
      <sz val="11"/>
    </font>
    <font>
      <name val="Cambria"/>
      <charset val="1"/>
      <family val="0"/>
      <b val="1"/>
      <color rgb="FF990000"/>
      <sz val="11"/>
    </font>
    <font>
      <name val="Cambria"/>
      <charset val="1"/>
      <family val="0"/>
      <b val="1"/>
      <color rgb="FF000000"/>
      <sz val="11"/>
    </font>
    <font>
      <name val="Arial"/>
      <charset val="1"/>
      <family val="2"/>
      <b val="1"/>
      <color rgb="FF0070C0"/>
      <sz val="10"/>
    </font>
    <font>
      <name val="Cambria"/>
      <charset val="1"/>
      <family val="0"/>
      <b val="1"/>
      <color rgb="FFFFFFFF"/>
      <sz val="11"/>
    </font>
    <font>
      <name val="Arial"/>
      <charset val="1"/>
      <family val="0"/>
      <color rgb="FF000000"/>
      <sz val="10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1F6B00"/>
      <sz val="11"/>
    </font>
    <font>
      <name val="Cambria"/>
      <charset val="1"/>
      <family val="0"/>
      <b val="1"/>
      <color rgb="FF9B0000"/>
      <sz val="11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i val="1"/>
      <color rgb="FF7A000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b val="1"/>
      <i val="1"/>
      <color rgb="FF7A0000"/>
      <sz val="11"/>
    </font>
    <font>
      <name val="Cambria"/>
      <charset val="1"/>
      <family val="0"/>
      <color rgb="FF003399"/>
      <sz val="11"/>
    </font>
    <font>
      <name val="Calibri"/>
      <charset val="1"/>
      <family val="0"/>
      <color rgb="FF003399"/>
      <sz val="11"/>
    </font>
    <font>
      <name val="Cambria"/>
      <charset val="1"/>
      <family val="0"/>
      <sz val="11"/>
    </font>
    <font>
      <name val="Cambria"/>
      <charset val="1"/>
      <family val="0"/>
      <color rgb="FF990000"/>
      <sz val="11"/>
    </font>
    <font>
      <name val="Calibri"/>
      <charset val="1"/>
      <family val="0"/>
      <color rgb="FF990000"/>
      <sz val="11"/>
    </font>
    <font>
      <name val="Arial"/>
      <charset val="1"/>
      <family val="0"/>
      <i val="1"/>
      <color rgb="FF7A000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2"/>
      <b val="1"/>
      <color rgb="FFFFFFFF"/>
      <sz val="9"/>
    </font>
    <font>
      <name val="Arial"/>
      <charset val="1"/>
      <family val="0"/>
      <b val="1"/>
      <color rgb="FF7A0000"/>
      <sz val="10"/>
    </font>
    <font>
      <name val="Arial"/>
      <charset val="1"/>
      <family val="2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2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4"/>
    </font>
    <font>
      <name val="Calibri"/>
      <charset val="1"/>
      <family val="0"/>
      <b val="1"/>
      <color rgb="FF7A0000"/>
      <sz val="13"/>
    </font>
    <font>
      <name val="Calibri"/>
      <charset val="1"/>
      <family val="0"/>
      <b val="1"/>
      <sz val="11"/>
    </font>
    <font>
      <name val="Cambria"/>
      <charset val="1"/>
      <family val="0"/>
      <b val="1"/>
      <color rgb="FF7A0000"/>
      <sz val="13"/>
    </font>
    <font>
      <name val="Cambria"/>
      <charset val="1"/>
      <family val="0"/>
      <b val="1"/>
      <sz val="12"/>
    </font>
    <font>
      <name val="Cambria"/>
      <charset val="1"/>
      <family val="0"/>
      <b val="1"/>
      <color rgb="FFFF0000"/>
      <sz val="11"/>
    </font>
  </fonts>
  <fills count="10">
    <fill>
      <patternFill/>
    </fill>
    <fill>
      <patternFill patternType="gray125"/>
    </fill>
    <fill>
      <patternFill patternType="solid">
        <fgColor rgb="FFF5F0E8"/>
        <bgColor rgb="FFF0E8D0"/>
      </patternFill>
    </fill>
    <fill>
      <patternFill patternType="solid">
        <fgColor rgb="FF7A0000"/>
        <bgColor rgb="FF990000"/>
      </patternFill>
    </fill>
    <fill>
      <patternFill patternType="solid">
        <fgColor rgb="FFF0D080"/>
        <bgColor rgb="FFF0E8D0"/>
      </patternFill>
    </fill>
    <fill>
      <patternFill patternType="solid">
        <fgColor rgb="FFDDEEFF"/>
        <bgColor rgb="FFF5F0E8"/>
      </patternFill>
    </fill>
    <fill>
      <patternFill patternType="solid">
        <fgColor rgb="FFFFDDDD"/>
        <bgColor rgb="FFF0E8D0"/>
      </patternFill>
    </fill>
    <fill>
      <patternFill patternType="solid">
        <fgColor rgb="FFF0E8D0"/>
        <bgColor rgb="FFF5F0E8"/>
      </patternFill>
    </fill>
    <fill>
      <patternFill patternType="solid">
        <fgColor rgb="FFA00000"/>
        <bgColor rgb="FF9B0000"/>
      </patternFill>
    </fill>
    <fill>
      <patternFill patternType="solid">
        <fgColor rgb="FFFFFFFF"/>
        <bgColor rgb="FFF5F0E8"/>
      </patternFill>
    </fill>
  </fills>
  <borders count="17">
    <border>
      <left/>
      <right/>
      <top/>
      <bottom/>
      <diagonal/>
    </border>
    <border>
      <left style="thin">
        <color rgb="FFC9A227"/>
      </left>
      <right style="thin">
        <color rgb="FFC9A227"/>
      </right>
      <top style="thin">
        <color rgb="FFC9A227"/>
      </top>
      <bottom style="thin">
        <color rgb="FFC9A227"/>
      </bottom>
      <diagonal/>
    </border>
    <border>
      <left/>
      <right/>
      <top style="medium"/>
      <bottom/>
      <diagonal/>
    </border>
    <border>
      <left style="medium">
        <color rgb="FF7A0000"/>
      </left>
      <right style="medium">
        <color rgb="FF7A0000"/>
      </right>
      <top style="medium">
        <color rgb="FF7A0000"/>
      </top>
      <bottom style="medium">
        <color rgb="FF7A0000"/>
      </bottom>
      <diagonal/>
    </border>
    <border>
      <left/>
      <right/>
      <top style="medium">
        <color rgb="FF7A0000"/>
      </top>
      <bottom style="medium">
        <color rgb="FF7A0000"/>
      </bottom>
      <diagonal/>
    </border>
    <border>
      <left/>
      <right style="medium">
        <color rgb="FF7A0000"/>
      </right>
      <top style="medium">
        <color rgb="FF7A0000"/>
      </top>
      <bottom style="medium">
        <color rgb="FF7A0000"/>
      </bottom>
      <diagonal/>
    </border>
    <border>
      <left/>
      <right/>
      <top style="thin">
        <color rgb="FFC9A227"/>
      </top>
      <bottom style="thin">
        <color rgb="FFC9A227"/>
      </bottom>
      <diagonal/>
    </border>
    <border>
      <left/>
      <right style="thin">
        <color rgb="FFC9A227"/>
      </right>
      <top style="thin">
        <color rgb="FFC9A227"/>
      </top>
      <bottom style="thin">
        <color rgb="FFC9A227"/>
      </bottom>
      <diagonal/>
    </border>
    <border>
      <left style="thin">
        <color rgb="FFC9A227"/>
      </left>
      <right style="thin">
        <color rgb="FFC9A227"/>
      </right>
      <top style="thin">
        <color rgb="FFC9A227"/>
      </top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/>
      <diagonal/>
    </border>
    <border>
      <left/>
      <right style="thin"/>
      <top/>
      <bottom/>
      <diagonal/>
    </border>
    <border>
      <left/>
      <right/>
      <top style="thin">
        <color rgb="FFC9A227"/>
      </top>
      <bottom/>
      <diagonal/>
    </border>
    <border>
      <left/>
      <right style="thin">
        <color rgb="FFC9A227"/>
      </right>
      <top style="thin">
        <color rgb="FFC9A227"/>
      </top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4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general" vertical="bottom"/>
    </xf>
    <xf numFmtId="164" fontId="10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/>
    </xf>
    <xf numFmtId="165" fontId="10" fillId="2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general" vertical="bottom"/>
    </xf>
    <xf numFmtId="164" fontId="12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/>
    </xf>
    <xf numFmtId="165" fontId="12" fillId="6" borderId="1" applyAlignment="1" pivotButton="0" quotePrefix="0" xfId="0">
      <alignment horizontal="right" vertical="center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4" fontId="15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left" vertical="center" wrapText="1"/>
    </xf>
    <xf numFmtId="165" fontId="15" fillId="5" borderId="1" applyAlignment="1" pivotButton="0" quotePrefix="0" xfId="0">
      <alignment horizontal="right" vertical="center"/>
    </xf>
    <xf numFmtId="164" fontId="16" fillId="6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center" vertical="center"/>
    </xf>
    <xf numFmtId="165" fontId="16" fillId="6" borderId="1" applyAlignment="1" pivotButton="0" quotePrefix="0" xfId="0">
      <alignment horizontal="right" vertical="center"/>
    </xf>
    <xf numFmtId="164" fontId="16" fillId="6" borderId="0" applyAlignment="1" pivotButton="0" quotePrefix="0" xfId="0">
      <alignment horizontal="general" vertical="bottom"/>
    </xf>
    <xf numFmtId="0" fontId="16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165" fontId="16" fillId="6" borderId="0" applyAlignment="1" pivotButton="0" quotePrefix="0" xfId="0">
      <alignment horizontal="general" vertical="bottom"/>
    </xf>
    <xf numFmtId="164" fontId="8" fillId="5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bottom"/>
    </xf>
    <xf numFmtId="165" fontId="8" fillId="5" borderId="1" applyAlignment="1" pivotButton="0" quotePrefix="0" xfId="0">
      <alignment horizontal="general" vertical="bottom"/>
    </xf>
    <xf numFmtId="166" fontId="17" fillId="7" borderId="2" applyAlignment="1" pivotButton="0" quotePrefix="0" xfId="0">
      <alignment horizontal="center" vertical="center"/>
    </xf>
    <xf numFmtId="165" fontId="15" fillId="5" borderId="2" applyAlignment="1" pivotButton="0" quotePrefix="0" xfId="0">
      <alignment horizontal="right" vertical="center"/>
    </xf>
    <xf numFmtId="165" fontId="16" fillId="6" borderId="2" applyAlignment="1" pivotButton="0" quotePrefix="0" xfId="0">
      <alignment horizontal="right" vertical="center"/>
    </xf>
    <xf numFmtId="165" fontId="17" fillId="7" borderId="1" applyAlignment="1" pivotButton="0" quotePrefix="0" xfId="0">
      <alignment horizontal="left" vertical="center" wrapText="1"/>
    </xf>
    <xf numFmtId="166" fontId="18" fillId="2" borderId="1" applyAlignment="1" pivotButton="0" quotePrefix="0" xfId="0">
      <alignment horizontal="center" vertical="center"/>
    </xf>
    <xf numFmtId="165" fontId="18" fillId="2" borderId="1" applyAlignment="1" pivotButton="0" quotePrefix="0" xfId="0">
      <alignment horizontal="right" vertical="center"/>
    </xf>
    <xf numFmtId="0" fontId="18" fillId="2" borderId="1" applyAlignment="1" pivotButton="0" quotePrefix="0" xfId="0">
      <alignment horizontal="left" vertical="center" wrapText="1"/>
    </xf>
    <xf numFmtId="166" fontId="19" fillId="3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165" fontId="19" fillId="8" borderId="3" applyAlignment="1" pivotButton="0" quotePrefix="0" xfId="0">
      <alignment horizontal="right" vertical="center"/>
    </xf>
    <xf numFmtId="0" fontId="19" fillId="3" borderId="3" applyAlignment="1" pivotButton="0" quotePrefix="0" xfId="0">
      <alignment horizontal="right" vertical="center"/>
    </xf>
    <xf numFmtId="166" fontId="17" fillId="9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165" fontId="20" fillId="9" borderId="1" applyAlignment="1" pivotButton="0" quotePrefix="0" xfId="0">
      <alignment horizontal="right" vertical="center"/>
    </xf>
    <xf numFmtId="0" fontId="17" fillId="9" borderId="1" applyAlignment="1" pivotButton="0" quotePrefix="0" xfId="0">
      <alignment horizontal="left" vertical="center" wrapText="1"/>
    </xf>
    <xf numFmtId="165" fontId="21" fillId="8" borderId="3" applyAlignment="1" pivotButton="0" quotePrefix="0" xfId="0">
      <alignment horizontal="right" vertical="center"/>
    </xf>
    <xf numFmtId="0" fontId="21" fillId="3" borderId="3" applyAlignment="1" pivotButton="0" quotePrefix="0" xfId="0">
      <alignment horizontal="right" vertical="center"/>
    </xf>
    <xf numFmtId="0" fontId="18" fillId="2" borderId="1" applyAlignment="1" pivotButton="0" quotePrefix="0" xfId="0">
      <alignment horizontal="center" vertical="center"/>
    </xf>
    <xf numFmtId="166" fontId="20" fillId="9" borderId="1" applyAlignment="1" pivotButton="0" quotePrefix="0" xfId="0">
      <alignment horizontal="center" vertical="center"/>
    </xf>
    <xf numFmtId="0" fontId="20" fillId="9" borderId="1" applyAlignment="1" pivotButton="0" quotePrefix="0" xfId="0">
      <alignment horizontal="left" vertical="center" wrapText="1"/>
    </xf>
    <xf numFmtId="0" fontId="20" fillId="9" borderId="1" applyAlignment="1" pivotButton="0" quotePrefix="0" xfId="0">
      <alignment horizontal="center" vertical="center"/>
    </xf>
    <xf numFmtId="166" fontId="21" fillId="3" borderId="3" applyAlignment="1" pivotButton="0" quotePrefix="0" xfId="0">
      <alignment horizontal="center" vertical="center"/>
    </xf>
    <xf numFmtId="166" fontId="21" fillId="9" borderId="1" applyAlignment="1" pivotButton="0" quotePrefix="0" xfId="0">
      <alignment horizontal="center" vertical="center"/>
    </xf>
    <xf numFmtId="0" fontId="21" fillId="9" borderId="1" applyAlignment="1" pivotButton="0" quotePrefix="0" xfId="0">
      <alignment horizontal="left" vertical="center" wrapText="1"/>
    </xf>
    <xf numFmtId="166" fontId="22" fillId="3" borderId="3" applyAlignment="1" pivotButton="0" quotePrefix="0" xfId="0">
      <alignment horizontal="center" vertical="center"/>
    </xf>
    <xf numFmtId="165" fontId="22" fillId="8" borderId="3" applyAlignment="1" pivotButton="0" quotePrefix="0" xfId="0">
      <alignment horizontal="right" vertical="center"/>
    </xf>
    <xf numFmtId="166" fontId="23" fillId="3" borderId="3" applyAlignment="1" pivotButton="0" quotePrefix="0" xfId="0">
      <alignment horizontal="center" vertical="center"/>
    </xf>
    <xf numFmtId="165" fontId="23" fillId="8" borderId="3" applyAlignment="1" pivotButton="0" quotePrefix="0" xfId="0">
      <alignment horizontal="right" vertical="center"/>
    </xf>
    <xf numFmtId="166" fontId="20" fillId="2" borderId="1" applyAlignment="1" pivotButton="0" quotePrefix="0" xfId="0">
      <alignment horizontal="center" vertical="center"/>
    </xf>
    <xf numFmtId="165" fontId="20" fillId="2" borderId="1" applyAlignment="1" pivotButton="0" quotePrefix="0" xfId="0">
      <alignment horizontal="right" vertical="center"/>
    </xf>
    <xf numFmtId="0" fontId="20" fillId="2" borderId="1" applyAlignment="1" pivotButton="0" quotePrefix="0" xfId="0">
      <alignment horizontal="left" vertical="center" wrapText="1"/>
    </xf>
    <xf numFmtId="0" fontId="24" fillId="3" borderId="3" applyAlignment="1" pivotButton="0" quotePrefix="0" xfId="0">
      <alignment horizontal="center" vertical="center"/>
    </xf>
    <xf numFmtId="165" fontId="21" fillId="3" borderId="3" applyAlignment="1" pivotButton="0" quotePrefix="0" xfId="0">
      <alignment horizontal="right" vertical="center"/>
    </xf>
    <xf numFmtId="0" fontId="25" fillId="4" borderId="1" applyAlignment="1" pivotButton="0" quotePrefix="0" xfId="0">
      <alignment horizontal="center" vertical="center"/>
    </xf>
    <xf numFmtId="165" fontId="21" fillId="4" borderId="3" applyAlignment="1" pivotButton="0" quotePrefix="0" xfId="0">
      <alignment horizontal="right" vertical="center"/>
    </xf>
    <xf numFmtId="0" fontId="26" fillId="3" borderId="0" applyAlignment="1" pivotButton="0" quotePrefix="0" xfId="0">
      <alignment horizontal="center" vertical="center"/>
    </xf>
    <xf numFmtId="0" fontId="27" fillId="4" borderId="0" applyAlignment="1" pivotButton="0" quotePrefix="0" xfId="0">
      <alignment horizontal="center" vertical="center"/>
    </xf>
    <xf numFmtId="0" fontId="28" fillId="5" borderId="1" applyAlignment="1" pivotButton="0" quotePrefix="0" xfId="0">
      <alignment horizontal="left" vertical="center"/>
    </xf>
    <xf numFmtId="165" fontId="28" fillId="5" borderId="1" applyAlignment="1" pivotButton="0" quotePrefix="0" xfId="0">
      <alignment horizontal="right" vertical="center"/>
    </xf>
    <xf numFmtId="0" fontId="29" fillId="0" borderId="0" applyAlignment="1" pivotButton="0" quotePrefix="0" xfId="0">
      <alignment horizontal="general" vertical="bottom"/>
    </xf>
    <xf numFmtId="0" fontId="30" fillId="0" borderId="1" applyAlignment="1" pivotButton="0" quotePrefix="0" xfId="0">
      <alignment horizontal="left" vertical="center"/>
    </xf>
    <xf numFmtId="165" fontId="30" fillId="0" borderId="1" applyAlignment="1" pivotButton="0" quotePrefix="0" xfId="0">
      <alignment horizontal="right" vertical="center"/>
    </xf>
    <xf numFmtId="0" fontId="31" fillId="6" borderId="1" applyAlignment="1" pivotButton="0" quotePrefix="0" xfId="0">
      <alignment horizontal="left" vertical="center"/>
    </xf>
    <xf numFmtId="165" fontId="31" fillId="6" borderId="1" applyAlignment="1" pivotButton="0" quotePrefix="0" xfId="0">
      <alignment horizontal="right" vertical="center"/>
    </xf>
    <xf numFmtId="0" fontId="32" fillId="0" borderId="0" applyAlignment="1" pivotButton="0" quotePrefix="0" xfId="0">
      <alignment horizontal="general" vertical="bottom"/>
    </xf>
    <xf numFmtId="0" fontId="21" fillId="3" borderId="3" applyAlignment="1" pivotButton="0" quotePrefix="0" xfId="0">
      <alignment horizontal="center" vertical="center"/>
    </xf>
    <xf numFmtId="0" fontId="33" fillId="4" borderId="0" applyAlignment="1" pivotButton="0" quotePrefix="0" xfId="0">
      <alignment horizontal="center" vertical="center"/>
    </xf>
    <xf numFmtId="0" fontId="34" fillId="3" borderId="8" applyAlignment="1" pivotButton="0" quotePrefix="0" xfId="0">
      <alignment horizontal="center" vertical="center" wrapText="1"/>
    </xf>
    <xf numFmtId="0" fontId="35" fillId="3" borderId="8" applyAlignment="1" pivotButton="0" quotePrefix="0" xfId="0">
      <alignment horizontal="center" vertical="center" wrapText="1"/>
    </xf>
    <xf numFmtId="0" fontId="36" fillId="9" borderId="9" applyAlignment="1" pivotButton="0" quotePrefix="0" xfId="0">
      <alignment horizontal="center" vertical="center"/>
    </xf>
    <xf numFmtId="0" fontId="20" fillId="9" borderId="9" applyAlignment="1" pivotButton="0" quotePrefix="0" xfId="0">
      <alignment horizontal="left" vertical="center"/>
    </xf>
    <xf numFmtId="165" fontId="20" fillId="9" borderId="9" applyAlignment="1" pivotButton="0" quotePrefix="0" xfId="0">
      <alignment horizontal="right" vertical="center"/>
    </xf>
    <xf numFmtId="0" fontId="37" fillId="9" borderId="9" applyAlignment="1" pivotButton="0" quotePrefix="0" xfId="0">
      <alignment horizontal="center" vertical="center"/>
    </xf>
    <xf numFmtId="0" fontId="20" fillId="9" borderId="9" applyAlignment="1" pivotButton="0" quotePrefix="0" xfId="0">
      <alignment horizontal="center" vertical="center"/>
    </xf>
    <xf numFmtId="0" fontId="38" fillId="9" borderId="9" applyAlignment="1" pivotButton="0" quotePrefix="0" xfId="0">
      <alignment horizontal="center" vertical="center"/>
    </xf>
    <xf numFmtId="0" fontId="36" fillId="2" borderId="9" applyAlignment="1" pivotButton="0" quotePrefix="0" xfId="0">
      <alignment horizontal="center" vertical="center"/>
    </xf>
    <xf numFmtId="0" fontId="20" fillId="2" borderId="9" applyAlignment="1" pivotButton="0" quotePrefix="0" xfId="0">
      <alignment horizontal="left" vertical="center"/>
    </xf>
    <xf numFmtId="165" fontId="20" fillId="2" borderId="9" applyAlignment="1" pivotButton="0" quotePrefix="0" xfId="0">
      <alignment horizontal="right" vertical="center"/>
    </xf>
    <xf numFmtId="0" fontId="37" fillId="2" borderId="9" applyAlignment="1" pivotButton="0" quotePrefix="0" xfId="0">
      <alignment horizontal="center" vertical="center"/>
    </xf>
    <xf numFmtId="0" fontId="20" fillId="2" borderId="9" applyAlignment="1" pivotButton="0" quotePrefix="0" xfId="0">
      <alignment horizontal="center" vertical="center"/>
    </xf>
    <xf numFmtId="0" fontId="38" fillId="2" borderId="9" applyAlignment="1" pivotButton="0" quotePrefix="0" xfId="0">
      <alignment horizontal="center" vertical="center"/>
    </xf>
    <xf numFmtId="0" fontId="39" fillId="9" borderId="9" applyAlignment="1" pivotButton="0" quotePrefix="0" xfId="0">
      <alignment horizontal="left" vertical="center"/>
    </xf>
    <xf numFmtId="165" fontId="39" fillId="9" borderId="9" applyAlignment="1" pivotButton="0" quotePrefix="0" xfId="0">
      <alignment horizontal="right" vertical="center"/>
    </xf>
    <xf numFmtId="0" fontId="39" fillId="9" borderId="9" applyAlignment="1" pivotButton="0" quotePrefix="0" xfId="0">
      <alignment horizontal="center" vertical="center"/>
    </xf>
    <xf numFmtId="0" fontId="40" fillId="9" borderId="9" applyAlignment="1" pivotButton="0" quotePrefix="0" xfId="0">
      <alignment horizontal="center" vertical="center"/>
    </xf>
    <xf numFmtId="0" fontId="39" fillId="2" borderId="9" applyAlignment="1" pivotButton="0" quotePrefix="0" xfId="0">
      <alignment horizontal="left" vertical="center"/>
    </xf>
    <xf numFmtId="165" fontId="39" fillId="2" borderId="9" applyAlignment="1" pivotButton="0" quotePrefix="0" xfId="0">
      <alignment horizontal="right" vertical="center"/>
    </xf>
    <xf numFmtId="0" fontId="39" fillId="2" borderId="9" applyAlignment="1" pivotButton="0" quotePrefix="0" xfId="0">
      <alignment horizontal="center" vertical="center"/>
    </xf>
    <xf numFmtId="0" fontId="40" fillId="2" borderId="9" applyAlignment="1" pivotButton="0" quotePrefix="0" xfId="0">
      <alignment horizontal="center" vertical="center"/>
    </xf>
    <xf numFmtId="0" fontId="41" fillId="2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general" vertical="bottom"/>
    </xf>
    <xf numFmtId="0" fontId="42" fillId="3" borderId="9" applyAlignment="1" pivotButton="0" quotePrefix="0" xfId="0">
      <alignment horizontal="center" vertical="center"/>
    </xf>
    <xf numFmtId="165" fontId="42" fillId="8" borderId="9" applyAlignment="1" pivotButton="0" quotePrefix="0" xfId="0">
      <alignment horizontal="right" vertical="center"/>
    </xf>
    <xf numFmtId="0" fontId="0" fillId="3" borderId="9" applyAlignment="1" pivotButton="0" quotePrefix="0" xfId="0">
      <alignment horizontal="general" vertical="bottom"/>
    </xf>
    <xf numFmtId="0" fontId="0" fillId="0" borderId="9" applyAlignment="1" pivotButton="0" quotePrefix="0" xfId="0">
      <alignment horizontal="general" vertical="bottom"/>
    </xf>
    <xf numFmtId="165" fontId="0" fillId="0" borderId="9" applyAlignment="1" pivotButton="0" quotePrefix="0" xfId="0">
      <alignment horizontal="general" vertical="bottom"/>
    </xf>
    <xf numFmtId="0" fontId="43" fillId="3" borderId="11" applyAlignment="1" pivotButton="0" quotePrefix="0" xfId="0">
      <alignment horizontal="center" vertical="center"/>
    </xf>
    <xf numFmtId="0" fontId="33" fillId="4" borderId="11" applyAlignment="1" pivotButton="0" quotePrefix="0" xfId="0">
      <alignment horizontal="center" vertical="center"/>
    </xf>
    <xf numFmtId="0" fontId="44" fillId="0" borderId="0" applyAlignment="1" pivotButton="0" quotePrefix="0" xfId="0">
      <alignment horizontal="general" vertical="bottom"/>
    </xf>
    <xf numFmtId="0" fontId="45" fillId="0" borderId="0" applyAlignment="1" pivotButton="0" quotePrefix="0" xfId="0">
      <alignment horizontal="general" vertical="bottom"/>
    </xf>
    <xf numFmtId="0" fontId="46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47" fillId="0" borderId="0" applyAlignment="1" pivotButton="0" quotePrefix="0" xfId="0">
      <alignment horizontal="general" vertical="bottom"/>
    </xf>
    <xf numFmtId="0" fontId="4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164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general" vertical="bottom"/>
    </xf>
    <xf numFmtId="164" fontId="10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/>
    </xf>
    <xf numFmtId="165" fontId="10" fillId="2" borderId="1" applyAlignment="1" pivotButton="0" quotePrefix="0" xfId="0">
      <alignment horizontal="right" vertical="center"/>
    </xf>
    <xf numFmtId="0" fontId="13" fillId="0" borderId="0" applyAlignment="1" pivotButton="0" quotePrefix="0" xfId="0">
      <alignment horizontal="general" vertical="bottom"/>
    </xf>
    <xf numFmtId="164" fontId="12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/>
    </xf>
    <xf numFmtId="165" fontId="12" fillId="6" borderId="1" applyAlignment="1" pivotButton="0" quotePrefix="0" xfId="0">
      <alignment horizontal="right" vertical="center"/>
    </xf>
    <xf numFmtId="0" fontId="14" fillId="0" borderId="0" applyAlignment="1" pivotButton="0" quotePrefix="0" xfId="0">
      <alignment horizontal="general" vertical="bottom"/>
    </xf>
    <xf numFmtId="164" fontId="15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left" vertical="center" wrapText="1"/>
    </xf>
    <xf numFmtId="165" fontId="15" fillId="5" borderId="1" applyAlignment="1" pivotButton="0" quotePrefix="0" xfId="0">
      <alignment horizontal="right" vertical="center"/>
    </xf>
    <xf numFmtId="164" fontId="16" fillId="6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center" vertical="center"/>
    </xf>
    <xf numFmtId="165" fontId="16" fillId="6" borderId="1" applyAlignment="1" pivotButton="0" quotePrefix="0" xfId="0">
      <alignment horizontal="right" vertical="center"/>
    </xf>
    <xf numFmtId="164" fontId="16" fillId="6" borderId="0" applyAlignment="1" pivotButton="0" quotePrefix="0" xfId="0">
      <alignment horizontal="general" vertical="bottom"/>
    </xf>
    <xf numFmtId="0" fontId="16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165" fontId="16" fillId="6" borderId="0" applyAlignment="1" pivotButton="0" quotePrefix="0" xfId="0">
      <alignment horizontal="general" vertical="bottom"/>
    </xf>
    <xf numFmtId="164" fontId="8" fillId="5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bottom"/>
    </xf>
    <xf numFmtId="165" fontId="8" fillId="5" borderId="1" applyAlignment="1" pivotButton="0" quotePrefix="0" xfId="0">
      <alignment horizontal="general" vertical="bottom"/>
    </xf>
    <xf numFmtId="166" fontId="17" fillId="7" borderId="2" applyAlignment="1" pivotButton="0" quotePrefix="0" xfId="0">
      <alignment horizontal="center" vertical="center"/>
    </xf>
    <xf numFmtId="0" fontId="0" fillId="0" borderId="2" pivotButton="0" quotePrefix="0" xfId="0"/>
    <xf numFmtId="165" fontId="15" fillId="5" borderId="2" applyAlignment="1" pivotButton="0" quotePrefix="0" xfId="0">
      <alignment horizontal="right" vertical="center"/>
    </xf>
    <xf numFmtId="165" fontId="16" fillId="6" borderId="2" applyAlignment="1" pivotButton="0" quotePrefix="0" xfId="0">
      <alignment horizontal="right" vertical="center"/>
    </xf>
    <xf numFmtId="165" fontId="17" fillId="7" borderId="1" applyAlignment="1" pivotButton="0" quotePrefix="0" xfId="0">
      <alignment horizontal="left" vertical="center" wrapText="1"/>
    </xf>
    <xf numFmtId="166" fontId="18" fillId="2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65" fontId="18" fillId="2" borderId="1" applyAlignment="1" pivotButton="0" quotePrefix="0" xfId="0">
      <alignment horizontal="right" vertical="center"/>
    </xf>
    <xf numFmtId="0" fontId="18" fillId="2" borderId="1" applyAlignment="1" pivotButton="0" quotePrefix="0" xfId="0">
      <alignment horizontal="left" vertical="center" wrapText="1"/>
    </xf>
    <xf numFmtId="166" fontId="19" fillId="3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165" fontId="19" fillId="8" borderId="3" applyAlignment="1" pivotButton="0" quotePrefix="0" xfId="0">
      <alignment horizontal="right" vertical="center"/>
    </xf>
    <xf numFmtId="0" fontId="19" fillId="3" borderId="3" applyAlignment="1" pivotButton="0" quotePrefix="0" xfId="0">
      <alignment horizontal="right" vertical="center"/>
    </xf>
    <xf numFmtId="166" fontId="17" fillId="9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165" fontId="20" fillId="9" borderId="1" applyAlignment="1" pivotButton="0" quotePrefix="0" xfId="0">
      <alignment horizontal="right" vertical="center"/>
    </xf>
    <xf numFmtId="0" fontId="17" fillId="9" borderId="1" applyAlignment="1" pivotButton="0" quotePrefix="0" xfId="0">
      <alignment horizontal="left" vertical="center" wrapText="1"/>
    </xf>
    <xf numFmtId="165" fontId="21" fillId="8" borderId="3" applyAlignment="1" pivotButton="0" quotePrefix="0" xfId="0">
      <alignment horizontal="right" vertical="center"/>
    </xf>
    <xf numFmtId="0" fontId="21" fillId="3" borderId="3" applyAlignment="1" pivotButton="0" quotePrefix="0" xfId="0">
      <alignment horizontal="right" vertical="center"/>
    </xf>
    <xf numFmtId="0" fontId="18" fillId="2" borderId="1" applyAlignment="1" pivotButton="0" quotePrefix="0" xfId="0">
      <alignment horizontal="center" vertical="center"/>
    </xf>
    <xf numFmtId="166" fontId="20" fillId="9" borderId="1" applyAlignment="1" pivotButton="0" quotePrefix="0" xfId="0">
      <alignment horizontal="center" vertical="center"/>
    </xf>
    <xf numFmtId="0" fontId="20" fillId="9" borderId="1" applyAlignment="1" pivotButton="0" quotePrefix="0" xfId="0">
      <alignment horizontal="left" vertical="center" wrapText="1"/>
    </xf>
    <xf numFmtId="0" fontId="20" fillId="9" borderId="1" applyAlignment="1" pivotButton="0" quotePrefix="0" xfId="0">
      <alignment horizontal="center" vertical="center"/>
    </xf>
    <xf numFmtId="166" fontId="21" fillId="3" borderId="3" applyAlignment="1" pivotButton="0" quotePrefix="0" xfId="0">
      <alignment horizontal="center" vertical="center"/>
    </xf>
    <xf numFmtId="166" fontId="21" fillId="9" borderId="1" applyAlignment="1" pivotButton="0" quotePrefix="0" xfId="0">
      <alignment horizontal="center" vertical="center"/>
    </xf>
    <xf numFmtId="0" fontId="21" fillId="9" borderId="1" applyAlignment="1" pivotButton="0" quotePrefix="0" xfId="0">
      <alignment horizontal="left" vertical="center" wrapText="1"/>
    </xf>
    <xf numFmtId="166" fontId="22" fillId="3" borderId="3" applyAlignment="1" pivotButton="0" quotePrefix="0" xfId="0">
      <alignment horizontal="center" vertical="center"/>
    </xf>
    <xf numFmtId="165" fontId="22" fillId="8" borderId="3" applyAlignment="1" pivotButton="0" quotePrefix="0" xfId="0">
      <alignment horizontal="right" vertical="center"/>
    </xf>
    <xf numFmtId="166" fontId="23" fillId="3" borderId="3" applyAlignment="1" pivotButton="0" quotePrefix="0" xfId="0">
      <alignment horizontal="center" vertical="center"/>
    </xf>
    <xf numFmtId="165" fontId="23" fillId="8" borderId="3" applyAlignment="1" pivotButton="0" quotePrefix="0" xfId="0">
      <alignment horizontal="right" vertical="center"/>
    </xf>
    <xf numFmtId="166" fontId="20" fillId="2" borderId="1" applyAlignment="1" pivotButton="0" quotePrefix="0" xfId="0">
      <alignment horizontal="center" vertical="center"/>
    </xf>
    <xf numFmtId="165" fontId="20" fillId="2" borderId="1" applyAlignment="1" pivotButton="0" quotePrefix="0" xfId="0">
      <alignment horizontal="right" vertical="center"/>
    </xf>
    <xf numFmtId="0" fontId="20" fillId="2" borderId="1" applyAlignment="1" pivotButton="0" quotePrefix="0" xfId="0">
      <alignment horizontal="left" vertical="center" wrapText="1"/>
    </xf>
    <xf numFmtId="0" fontId="24" fillId="3" borderId="3" applyAlignment="1" pivotButton="0" quotePrefix="0" xfId="0">
      <alignment horizontal="center" vertical="center"/>
    </xf>
    <xf numFmtId="165" fontId="21" fillId="3" borderId="3" applyAlignment="1" pivotButton="0" quotePrefix="0" xfId="0">
      <alignment horizontal="right" vertical="center"/>
    </xf>
    <xf numFmtId="0" fontId="25" fillId="4" borderId="1" applyAlignment="1" pivotButton="0" quotePrefix="0" xfId="0">
      <alignment horizontal="center" vertical="center"/>
    </xf>
    <xf numFmtId="165" fontId="21" fillId="4" borderId="3" applyAlignment="1" pivotButton="0" quotePrefix="0" xfId="0">
      <alignment horizontal="right" vertical="center"/>
    </xf>
    <xf numFmtId="0" fontId="26" fillId="3" borderId="0" applyAlignment="1" pivotButton="0" quotePrefix="0" xfId="0">
      <alignment horizontal="center" vertical="center"/>
    </xf>
    <xf numFmtId="0" fontId="27" fillId="4" borderId="0" applyAlignment="1" pivotButton="0" quotePrefix="0" xfId="0">
      <alignment horizontal="center" vertical="center"/>
    </xf>
    <xf numFmtId="0" fontId="28" fillId="5" borderId="1" applyAlignment="1" pivotButton="0" quotePrefix="0" xfId="0">
      <alignment horizontal="left" vertical="center"/>
    </xf>
    <xf numFmtId="165" fontId="28" fillId="5" borderId="1" applyAlignment="1" pivotButton="0" quotePrefix="0" xfId="0">
      <alignment horizontal="right" vertical="center"/>
    </xf>
    <xf numFmtId="0" fontId="29" fillId="0" borderId="0" applyAlignment="1" pivotButton="0" quotePrefix="0" xfId="0">
      <alignment horizontal="general" vertical="bottom"/>
    </xf>
    <xf numFmtId="0" fontId="30" fillId="0" borderId="1" applyAlignment="1" pivotButton="0" quotePrefix="0" xfId="0">
      <alignment horizontal="left" vertical="center"/>
    </xf>
    <xf numFmtId="165" fontId="30" fillId="0" borderId="1" applyAlignment="1" pivotButton="0" quotePrefix="0" xfId="0">
      <alignment horizontal="right" vertical="center"/>
    </xf>
    <xf numFmtId="0" fontId="31" fillId="6" borderId="1" applyAlignment="1" pivotButton="0" quotePrefix="0" xfId="0">
      <alignment horizontal="left" vertical="center"/>
    </xf>
    <xf numFmtId="165" fontId="31" fillId="6" borderId="1" applyAlignment="1" pivotButton="0" quotePrefix="0" xfId="0">
      <alignment horizontal="right" vertical="center"/>
    </xf>
    <xf numFmtId="0" fontId="32" fillId="0" borderId="0" applyAlignment="1" pivotButton="0" quotePrefix="0" xfId="0">
      <alignment horizontal="general" vertical="bottom"/>
    </xf>
    <xf numFmtId="0" fontId="21" fillId="3" borderId="3" applyAlignment="1" pivotButton="0" quotePrefix="0" xfId="0">
      <alignment horizontal="center" vertical="center"/>
    </xf>
    <xf numFmtId="0" fontId="33" fillId="4" borderId="0" applyAlignment="1" pivotButton="0" quotePrefix="0" xfId="0">
      <alignment horizontal="center" vertical="center"/>
    </xf>
    <xf numFmtId="0" fontId="34" fillId="3" borderId="8" applyAlignment="1" pivotButton="0" quotePrefix="0" xfId="0">
      <alignment horizontal="center" vertical="center" wrapText="1"/>
    </xf>
    <xf numFmtId="0" fontId="35" fillId="3" borderId="8" applyAlignment="1" pivotButton="0" quotePrefix="0" xfId="0">
      <alignment horizontal="center" vertical="center" wrapText="1"/>
    </xf>
    <xf numFmtId="0" fontId="36" fillId="9" borderId="9" applyAlignment="1" pivotButton="0" quotePrefix="0" xfId="0">
      <alignment horizontal="center" vertical="center"/>
    </xf>
    <xf numFmtId="0" fontId="20" fillId="9" borderId="9" applyAlignment="1" pivotButton="0" quotePrefix="0" xfId="0">
      <alignment horizontal="left" vertical="center"/>
    </xf>
    <xf numFmtId="165" fontId="20" fillId="9" borderId="9" applyAlignment="1" pivotButton="0" quotePrefix="0" xfId="0">
      <alignment horizontal="right" vertical="center"/>
    </xf>
    <xf numFmtId="0" fontId="37" fillId="9" borderId="9" applyAlignment="1" pivotButton="0" quotePrefix="0" xfId="0">
      <alignment horizontal="center" vertical="center"/>
    </xf>
    <xf numFmtId="0" fontId="20" fillId="9" borderId="9" applyAlignment="1" pivotButton="0" quotePrefix="0" xfId="0">
      <alignment horizontal="center" vertical="center"/>
    </xf>
    <xf numFmtId="0" fontId="38" fillId="9" borderId="9" applyAlignment="1" pivotButton="0" quotePrefix="0" xfId="0">
      <alignment horizontal="center" vertical="center"/>
    </xf>
    <xf numFmtId="0" fontId="36" fillId="2" borderId="9" applyAlignment="1" pivotButton="0" quotePrefix="0" xfId="0">
      <alignment horizontal="center" vertical="center"/>
    </xf>
    <xf numFmtId="0" fontId="20" fillId="2" borderId="9" applyAlignment="1" pivotButton="0" quotePrefix="0" xfId="0">
      <alignment horizontal="left" vertical="center"/>
    </xf>
    <xf numFmtId="165" fontId="20" fillId="2" borderId="9" applyAlignment="1" pivotButton="0" quotePrefix="0" xfId="0">
      <alignment horizontal="right" vertical="center"/>
    </xf>
    <xf numFmtId="0" fontId="37" fillId="2" borderId="9" applyAlignment="1" pivotButton="0" quotePrefix="0" xfId="0">
      <alignment horizontal="center" vertical="center"/>
    </xf>
    <xf numFmtId="0" fontId="20" fillId="2" borderId="9" applyAlignment="1" pivotButton="0" quotePrefix="0" xfId="0">
      <alignment horizontal="center" vertical="center"/>
    </xf>
    <xf numFmtId="0" fontId="38" fillId="2" borderId="9" applyAlignment="1" pivotButton="0" quotePrefix="0" xfId="0">
      <alignment horizontal="center" vertical="center"/>
    </xf>
    <xf numFmtId="0" fontId="39" fillId="9" borderId="9" applyAlignment="1" pivotButton="0" quotePrefix="0" xfId="0">
      <alignment horizontal="left" vertical="center"/>
    </xf>
    <xf numFmtId="165" fontId="39" fillId="9" borderId="9" applyAlignment="1" pivotButton="0" quotePrefix="0" xfId="0">
      <alignment horizontal="right" vertical="center"/>
    </xf>
    <xf numFmtId="0" fontId="39" fillId="9" borderId="9" applyAlignment="1" pivotButton="0" quotePrefix="0" xfId="0">
      <alignment horizontal="center" vertical="center"/>
    </xf>
    <xf numFmtId="0" fontId="40" fillId="9" borderId="9" applyAlignment="1" pivotButton="0" quotePrefix="0" xfId="0">
      <alignment horizontal="center" vertical="center"/>
    </xf>
    <xf numFmtId="0" fontId="39" fillId="2" borderId="9" applyAlignment="1" pivotButton="0" quotePrefix="0" xfId="0">
      <alignment horizontal="left" vertical="center"/>
    </xf>
    <xf numFmtId="165" fontId="39" fillId="2" borderId="9" applyAlignment="1" pivotButton="0" quotePrefix="0" xfId="0">
      <alignment horizontal="right" vertical="center"/>
    </xf>
    <xf numFmtId="0" fontId="39" fillId="2" borderId="9" applyAlignment="1" pivotButton="0" quotePrefix="0" xfId="0">
      <alignment horizontal="center" vertical="center"/>
    </xf>
    <xf numFmtId="0" fontId="40" fillId="2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general" vertical="bottom"/>
    </xf>
    <xf numFmtId="0" fontId="41" fillId="2" borderId="9" applyAlignment="1" pivotButton="0" quotePrefix="0" xfId="0">
      <alignment horizontal="center" vertical="center"/>
    </xf>
    <xf numFmtId="0" fontId="42" fillId="3" borderId="9" applyAlignment="1" pivotButton="0" quotePrefix="0" xfId="0">
      <alignment horizontal="center" vertical="center"/>
    </xf>
    <xf numFmtId="0" fontId="0" fillId="0" borderId="16" pivotButton="0" quotePrefix="0" xfId="0"/>
    <xf numFmtId="165" fontId="42" fillId="8" borderId="9" applyAlignment="1" pivotButton="0" quotePrefix="0" xfId="0">
      <alignment horizontal="right" vertical="center"/>
    </xf>
    <xf numFmtId="0" fontId="0" fillId="3" borderId="9" applyAlignment="1" pivotButton="0" quotePrefix="0" xfId="0">
      <alignment horizontal="general" vertical="bottom"/>
    </xf>
    <xf numFmtId="0" fontId="0" fillId="0" borderId="9" applyAlignment="1" pivotButton="0" quotePrefix="0" xfId="0">
      <alignment horizontal="general" vertical="bottom"/>
    </xf>
    <xf numFmtId="165" fontId="0" fillId="0" borderId="9" applyAlignment="1" pivotButton="0" quotePrefix="0" xfId="0">
      <alignment horizontal="general" vertical="bottom"/>
    </xf>
    <xf numFmtId="0" fontId="43" fillId="3" borderId="11" applyAlignment="1" pivotButton="0" quotePrefix="0" xfId="0">
      <alignment horizontal="center" vertical="center"/>
    </xf>
    <xf numFmtId="0" fontId="0" fillId="0" borderId="11" pivotButton="0" quotePrefix="0" xfId="0"/>
    <xf numFmtId="0" fontId="33" fillId="4" borderId="11" applyAlignment="1" pivotButton="0" quotePrefix="0" xfId="0">
      <alignment horizontal="center" vertical="center"/>
    </xf>
    <xf numFmtId="0" fontId="44" fillId="0" borderId="0" applyAlignment="1" pivotButton="0" quotePrefix="0" xfId="0">
      <alignment horizontal="general" vertical="bottom"/>
    </xf>
    <xf numFmtId="0" fontId="45" fillId="0" borderId="0" applyAlignment="1" pivotButton="0" quotePrefix="0" xfId="0">
      <alignment horizontal="general" vertical="bottom"/>
    </xf>
    <xf numFmtId="0" fontId="46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47" fillId="0" borderId="0" applyAlignment="1" pivotButton="0" quotePrefix="0" xfId="0">
      <alignment horizontal="general" vertical="bottom"/>
    </xf>
    <xf numFmtId="0" fontId="4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A0000"/>
      <rgbColor rgb="FF1F6B00"/>
      <rgbColor rgb="FF000080"/>
      <rgbColor rgb="FF808000"/>
      <rgbColor rgb="FFA00000"/>
      <rgbColor rgb="FF008080"/>
      <rgbColor rgb="FFC0C0C0"/>
      <rgbColor rgb="FF808080"/>
      <rgbColor rgb="FF9999FF"/>
      <rgbColor rgb="FF993366"/>
      <rgbColor rgb="FFF5F0E8"/>
      <rgbColor rgb="FFDDEEFF"/>
      <rgbColor rgb="FF660066"/>
      <rgbColor rgb="FFFF8080"/>
      <rgbColor rgb="FF0070C0"/>
      <rgbColor rgb="FFFFDDDD"/>
      <rgbColor rgb="FF000080"/>
      <rgbColor rgb="FFFF00FF"/>
      <rgbColor rgb="FFFFFF00"/>
      <rgbColor rgb="FF00FFFF"/>
      <rgbColor rgb="FF800080"/>
      <rgbColor rgb="FF990000"/>
      <rgbColor rgb="FF008080"/>
      <rgbColor rgb="FF0000FF"/>
      <rgbColor rgb="FF00CCFF"/>
      <rgbColor rgb="FFCCFFFF"/>
      <rgbColor rgb="FFF0E8D0"/>
      <rgbColor rgb="FFFFFF99"/>
      <rgbColor rgb="FF99CCFF"/>
      <rgbColor rgb="FFFF99CC"/>
      <rgbColor rgb="FFCC99FF"/>
      <rgbColor rgb="FFF0D080"/>
      <rgbColor rgb="FF3366FF"/>
      <rgbColor rgb="FF33CCCC"/>
      <rgbColor rgb="FF99CC00"/>
      <rgbColor rgb="FFFFCC00"/>
      <rgbColor rgb="FFC9A227"/>
      <rgbColor rgb="FFFF6600"/>
      <rgbColor rgb="FF666699"/>
      <rgbColor rgb="FF969696"/>
      <rgbColor rgb="FF003399"/>
      <rgbColor rgb="FF00B050"/>
      <rgbColor rgb="FF003300"/>
      <rgbColor rgb="FF333300"/>
      <rgbColor rgb="FF9B00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3</row>
      <rowOff>0</rowOff>
    </from>
    <to>
      <col>0</col>
      <colOff>3320640</colOff>
      <row>6</row>
      <rowOff>120600</rowOff>
    </to>
    <pic>
      <nvPicPr>
        <cNvPr id="0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600120"/>
          <a:ext cx="3320640" cy="57020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3</row>
      <rowOff>0</rowOff>
    </from>
    <to>
      <col>1</col>
      <colOff>63360</colOff>
      <row>3</row>
      <rowOff>4749480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600120"/>
          <a:ext cx="5702040" cy="47494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2</row>
      <rowOff>176040</rowOff>
    </from>
    <to>
      <col>0</col>
      <colOff>3610080</colOff>
      <row>3</row>
      <rowOff>4738680</rowOff>
    </to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566640"/>
          <a:ext cx="3610080" cy="47530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ticket_1y2.png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62"/>
  <sheetViews>
    <sheetView showFormulas="0" showGridLines="0" showRowColHeaders="1" showZeros="1" rightToLeft="0" tabSelected="0" showOutlineSymbols="1" defaultGridColor="1" view="normal" topLeftCell="A4" colorId="64" zoomScale="100" zoomScaleNormal="100" zoomScalePageLayoutView="100" workbookViewId="0">
      <selection pane="topLeft" activeCell="C16" activeCellId="0" sqref="C16"/>
    </sheetView>
  </sheetViews>
  <sheetFormatPr baseColWidth="8" defaultColWidth="9.1484375" defaultRowHeight="15" zeroHeight="0" outlineLevelRow="0"/>
  <cols>
    <col width="12" customWidth="1" style="122" min="1" max="1"/>
    <col width="32" customWidth="1" style="122" min="2" max="2"/>
    <col width="30" customWidth="1" style="122" min="3" max="3"/>
    <col width="16" customWidth="1" style="122" min="4" max="5"/>
    <col hidden="1" width="30" customWidth="1" style="122" min="6" max="6"/>
  </cols>
  <sheetData>
    <row r="1" ht="69.75" customHeight="1" s="123">
      <c r="A1" s="124" t="inlineStr">
        <is>
          <t>PEÑA TAURINA PEGUERINOS</t>
        </is>
      </c>
    </row>
    <row r="2" ht="21.75" customHeight="1" s="123">
      <c r="A2" s="125" t="inlineStr">
        <is>
          <t>Ávila, Castilla y León  ·  Libro de Ingresos y Gastos</t>
        </is>
      </c>
    </row>
    <row r="3" ht="21.75" customHeight="1" s="123">
      <c r="A3" s="126" t="inlineStr">
        <is>
          <t>Ejercicio 2026</t>
        </is>
      </c>
    </row>
    <row r="4" ht="7.5" customHeight="1" s="123"/>
    <row r="5" ht="30" customHeight="1" s="123">
      <c r="A5" s="127" t="inlineStr">
        <is>
          <t>FECHA</t>
        </is>
      </c>
      <c r="B5" s="127" t="inlineStr">
        <is>
          <t>CONCEPTO</t>
        </is>
      </c>
      <c r="C5" s="127" t="inlineStr">
        <is>
          <t>CATEGORÍA / NOTAS</t>
        </is>
      </c>
      <c r="D5" s="127" t="inlineStr">
        <is>
          <t>INGRESO (€)</t>
        </is>
      </c>
      <c r="E5" s="127" t="inlineStr">
        <is>
          <t>GASTO (€)</t>
        </is>
      </c>
      <c r="F5" s="127" t="n"/>
    </row>
    <row r="6" ht="19.5" customFormat="1" customHeight="1" s="128">
      <c r="A6" s="129" t="n">
        <v>46093</v>
      </c>
      <c r="B6" s="130" t="inlineStr">
        <is>
          <t>cuota semestral socios</t>
        </is>
      </c>
      <c r="C6" s="131" t="n"/>
      <c r="D6" s="132" t="n">
        <v>800</v>
      </c>
      <c r="E6" s="132" t="n"/>
      <c r="F6" s="130" t="n"/>
    </row>
    <row r="7" ht="19.5" customFormat="1" customHeight="1" s="133">
      <c r="A7" s="134" t="n">
        <v>46100</v>
      </c>
      <c r="B7" s="135" t="inlineStr">
        <is>
          <t>suscripcion canal tv y cesion de local</t>
        </is>
      </c>
      <c r="C7" s="136" t="inlineStr">
        <is>
          <t>colaboracion socio</t>
        </is>
      </c>
      <c r="D7" s="137" t="n"/>
      <c r="E7" s="137" t="n"/>
      <c r="F7" s="135" t="n"/>
    </row>
    <row r="8" ht="19.5" customFormat="1" customHeight="1" s="138">
      <c r="A8" s="139" t="n">
        <v>46106</v>
      </c>
      <c r="B8" s="140" t="inlineStr">
        <is>
          <t>reunion cena de  convivencia</t>
        </is>
      </c>
      <c r="C8" s="141" t="inlineStr">
        <is>
          <t>🧾 Ver Ticket Cena</t>
        </is>
      </c>
      <c r="D8" s="142" t="n"/>
      <c r="E8" s="142" t="n">
        <v>150</v>
      </c>
      <c r="F8" s="140" t="n"/>
    </row>
    <row r="9" ht="19.5" customFormat="1" customHeight="1" s="133">
      <c r="A9" s="134" t="n">
        <v>46134</v>
      </c>
      <c r="B9" s="135" t="inlineStr">
        <is>
          <t>dotacion camisetas y pañoletas</t>
        </is>
      </c>
      <c r="C9" s="136" t="inlineStr">
        <is>
          <t>colaboracion socio</t>
        </is>
      </c>
      <c r="D9" s="137" t="n"/>
      <c r="E9" s="137" t="n"/>
      <c r="F9" s="135" t="n"/>
    </row>
    <row r="10" ht="19.5" customFormat="1" customHeight="1" s="138">
      <c r="A10" s="139" t="n">
        <v>46138</v>
      </c>
      <c r="B10" s="140" t="inlineStr">
        <is>
          <t>compras cena inaugural</t>
        </is>
      </c>
      <c r="C10" s="141" t="inlineStr">
        <is>
          <t>🧾 Ver Ticket Compras (2)</t>
        </is>
      </c>
      <c r="D10" s="142" t="n"/>
      <c r="E10" s="142" t="n">
        <v>130</v>
      </c>
      <c r="F10" s="140" t="n"/>
    </row>
    <row r="11" ht="19.5" customFormat="1" customHeight="1" s="133">
      <c r="A11" s="134" t="n">
        <v>46139</v>
      </c>
      <c r="B11" s="135" t="inlineStr">
        <is>
          <t>tarjetas boligrafos</t>
        </is>
      </c>
      <c r="C11" s="136" t="inlineStr">
        <is>
          <t>colaboracion socio</t>
        </is>
      </c>
      <c r="D11" s="137" t="n"/>
      <c r="E11" s="137" t="n"/>
      <c r="F11" s="135" t="n"/>
    </row>
    <row r="12" ht="19.5" customFormat="1" customHeight="1" s="143">
      <c r="A12" s="129" t="n">
        <v>46158</v>
      </c>
      <c r="B12" s="130" t="inlineStr">
        <is>
          <t>Venta Loteria</t>
        </is>
      </c>
      <c r="C12" s="131" t="n"/>
      <c r="D12" s="132" t="n">
        <v>27.5</v>
      </c>
      <c r="E12" s="132" t="n"/>
      <c r="F12" s="130" t="n"/>
    </row>
    <row r="13" ht="19.5" customHeight="1" s="123">
      <c r="A13" s="144" t="n">
        <v>46172</v>
      </c>
      <c r="B13" s="145" t="inlineStr">
        <is>
          <t>Venta Lotería</t>
        </is>
      </c>
      <c r="C13" s="131" t="n"/>
      <c r="D13" s="146" t="n">
        <v>57</v>
      </c>
      <c r="E13" s="132" t="n"/>
      <c r="F13" s="130" t="n"/>
    </row>
    <row r="14" ht="19.5" customHeight="1" s="123">
      <c r="A14" s="147" t="n">
        <v>46164</v>
      </c>
      <c r="B14" s="148" t="inlineStr">
        <is>
          <t>Material papelería</t>
        </is>
      </c>
      <c r="C14" s="149" t="inlineStr">
        <is>
          <t>Material · 🧾 Ver Ticket Papelería</t>
        </is>
      </c>
      <c r="D14" s="150" t="n"/>
      <c r="E14" s="150" t="n">
        <v>30</v>
      </c>
      <c r="F14" s="148" t="n"/>
    </row>
    <row r="15" ht="19.5" customHeight="1" s="123">
      <c r="A15" s="129" t="n">
        <v>46182</v>
      </c>
      <c r="B15" s="130" t="inlineStr">
        <is>
          <t>Venta Lotería</t>
        </is>
      </c>
      <c r="C15" s="131" t="n"/>
      <c r="D15" s="132" t="n">
        <v>23.5</v>
      </c>
      <c r="E15" s="132" t="n"/>
      <c r="F15" s="130" t="n"/>
    </row>
    <row r="16" ht="19.5" customHeight="1" s="123">
      <c r="A16" s="151" t="n">
        <v>46188</v>
      </c>
      <c r="B16" s="152" t="inlineStr">
        <is>
          <t>compra de entradas</t>
        </is>
      </c>
      <c r="C16" s="152" t="inlineStr">
        <is>
          <t>🧾 Ver Factura Entradas</t>
        </is>
      </c>
      <c r="D16" s="153" t="n"/>
      <c r="E16" s="154" t="n">
        <v>308</v>
      </c>
    </row>
    <row r="17" ht="19.5" customHeight="1" s="123">
      <c r="A17" s="129" t="n">
        <v>46191</v>
      </c>
      <c r="B17" s="130" t="inlineStr">
        <is>
          <t>Venta Lotería</t>
        </is>
      </c>
      <c r="C17" s="131" t="n"/>
      <c r="D17" s="132" t="n">
        <v>30</v>
      </c>
      <c r="E17" s="132" t="n"/>
      <c r="F17" s="130" t="n"/>
    </row>
    <row r="18" ht="19.5" customHeight="1" s="123">
      <c r="A18" s="155" t="n">
        <v>46197</v>
      </c>
      <c r="B18" s="156" t="inlineStr">
        <is>
          <t>Venta Lotería</t>
        </is>
      </c>
      <c r="C18" s="156" t="n"/>
      <c r="D18" s="157" t="n">
        <v>30</v>
      </c>
      <c r="E18" s="156" t="n"/>
    </row>
    <row r="19" ht="19.5" customHeight="1" s="123">
      <c r="A19" s="155" t="n">
        <v>46197</v>
      </c>
      <c r="B19" s="156" t="inlineStr">
        <is>
          <t>Devolución entrada</t>
        </is>
      </c>
      <c r="C19" s="156" t="n"/>
      <c r="D19" s="157" t="n">
        <v>40</v>
      </c>
      <c r="E19" s="156" t="n"/>
    </row>
    <row r="20" ht="19.5" customHeight="1" s="123">
      <c r="A20" s="155" t="n">
        <v>46207</v>
      </c>
      <c r="B20" s="156" t="inlineStr">
        <is>
          <t>Venta Lotería</t>
        </is>
      </c>
      <c r="C20" s="156" t="n"/>
      <c r="D20" s="157" t="n">
        <v>52</v>
      </c>
      <c r="E20" s="156" t="n"/>
    </row>
    <row r="21" ht="19.5" customHeight="1" s="123">
      <c r="A21" s="155" t="n">
        <v>46218</v>
      </c>
      <c r="B21" s="156" t="inlineStr">
        <is>
          <t>Venta Lotería</t>
        </is>
      </c>
      <c r="C21" s="156" t="n"/>
      <c r="D21" s="157" t="n">
        <v>20.5</v>
      </c>
      <c r="E21" s="156" t="n"/>
    </row>
    <row r="22" ht="19.5" customHeight="1" s="123">
      <c r="A22" s="155" t="n">
        <v>46222</v>
      </c>
      <c r="B22" s="156" t="inlineStr">
        <is>
          <t>Venta Lotería</t>
        </is>
      </c>
      <c r="C22" s="156" t="n"/>
      <c r="D22" s="157" t="n">
        <v>34</v>
      </c>
      <c r="E22" s="156" t="n"/>
    </row>
    <row r="23" ht="19.5" customHeight="1" s="123">
      <c r="A23" s="155" t="n">
        <v>46244</v>
      </c>
      <c r="B23" s="156" t="inlineStr">
        <is>
          <t>Venta Lotería</t>
        </is>
      </c>
      <c r="C23" s="156" t="n"/>
      <c r="D23" s="157" t="n">
        <v>83</v>
      </c>
      <c r="E23" s="156" t="n"/>
    </row>
    <row r="24" ht="19.5" customHeight="1" s="123">
      <c r="A24" s="139" t="n">
        <v>46249</v>
      </c>
      <c r="B24" s="140" t="inlineStr">
        <is>
          <t>Pago toro de fuego</t>
        </is>
      </c>
      <c r="C24" s="141" t="n"/>
      <c r="D24" s="142" t="n"/>
      <c r="E24" s="142" t="n">
        <v>100</v>
      </c>
    </row>
    <row r="25" ht="19.5" customHeight="1" s="123">
      <c r="A25" s="155" t="n">
        <v>46256</v>
      </c>
      <c r="B25" s="156" t="inlineStr">
        <is>
          <t>Venta Lotería</t>
        </is>
      </c>
      <c r="C25" s="156" t="n"/>
      <c r="D25" s="157" t="n">
        <v>34</v>
      </c>
      <c r="E25" s="156" t="n"/>
    </row>
    <row r="26" ht="19.5" customHeight="1" s="123">
      <c r="A26" s="155" t="n">
        <v>46263</v>
      </c>
      <c r="B26" s="156" t="inlineStr">
        <is>
          <t>Venta Lotería</t>
        </is>
      </c>
      <c r="C26" s="156" t="n"/>
      <c r="D26" s="157" t="n">
        <v>34</v>
      </c>
      <c r="E26" s="156" t="n"/>
    </row>
    <row r="27" ht="19.5" customHeight="1" s="123">
      <c r="A27" s="155" t="n">
        <v>46270</v>
      </c>
      <c r="B27" s="156" t="inlineStr">
        <is>
          <t>Venta Lotería</t>
        </is>
      </c>
      <c r="C27" s="156" t="n"/>
      <c r="D27" s="157" t="n">
        <v>29</v>
      </c>
      <c r="E27" s="156" t="n"/>
    </row>
    <row r="28" ht="19.5" customHeight="1" s="123">
      <c r="A28" s="158" t="inlineStr">
        <is>
          <t>📊 TOTAL PARCIAL</t>
        </is>
      </c>
      <c r="B28" s="159" t="n"/>
      <c r="C28" s="159" t="n"/>
      <c r="D28" s="160">
        <f>SUM(D6:D27)</f>
        <v/>
      </c>
      <c r="E28" s="161">
        <f>SUM(E6:E27)</f>
        <v/>
      </c>
      <c r="F28" s="162">
        <f>D28-E28</f>
        <v/>
      </c>
    </row>
    <row r="29" ht="19.5" customHeight="1" s="123">
      <c r="A29" s="163" t="n"/>
      <c r="B29" s="164" t="n"/>
      <c r="C29" s="165" t="n"/>
      <c r="D29" s="166" t="n"/>
      <c r="E29" s="166" t="n"/>
      <c r="F29" s="167" t="n"/>
    </row>
    <row r="30" ht="19.5" customHeight="1" s="123">
      <c r="A30" s="168" t="inlineStr">
        <is>
          <t>TOTALES</t>
        </is>
      </c>
      <c r="B30" s="169" t="n"/>
      <c r="C30" s="170" t="n"/>
      <c r="D30" s="171">
        <f>SUM(D6:D27)</f>
        <v/>
      </c>
      <c r="E30" s="171">
        <f>SUM(E6:E27)</f>
        <v/>
      </c>
      <c r="F30" s="172">
        <f>D30-E30</f>
        <v/>
      </c>
    </row>
    <row r="31" ht="19.5" customHeight="1" s="123">
      <c r="A31" s="173" t="inlineStr">
        <is>
          <t>SALDO (Ingresos - Gastos)</t>
        </is>
      </c>
      <c r="B31" s="174" t="n"/>
      <c r="C31" s="175" t="n"/>
      <c r="D31" s="176" t="n"/>
      <c r="E31" s="176" t="n"/>
      <c r="F31" s="177">
        <f>D30-E30</f>
        <v/>
      </c>
    </row>
    <row r="32" ht="19.5" customHeight="1" s="123">
      <c r="A32" s="168" t="inlineStr">
        <is>
          <t>📥 Total Ingresos</t>
        </is>
      </c>
      <c r="B32" s="169" t="n"/>
      <c r="C32" s="170" t="n"/>
      <c r="D32" s="171">
        <f>D30</f>
        <v/>
      </c>
      <c r="E32" s="178">
        <f>E30</f>
        <v/>
      </c>
      <c r="F32" s="179" t="n"/>
    </row>
    <row r="33" ht="19.5" customHeight="1" s="123">
      <c r="A33" s="168" t="inlineStr">
        <is>
          <t>📤 Total Gastos</t>
        </is>
      </c>
      <c r="B33" s="169" t="n"/>
      <c r="C33" s="170" t="n"/>
      <c r="D33" s="178" t="n"/>
      <c r="E33" s="171">
        <f>E28</f>
        <v/>
      </c>
      <c r="F33" s="179" t="n"/>
    </row>
    <row r="34" ht="19.5" customHeight="1" s="123">
      <c r="A34" s="163" t="n"/>
      <c r="B34" s="167" t="n"/>
      <c r="C34" s="180" t="n"/>
      <c r="D34" s="166" t="n"/>
      <c r="E34" s="166" t="n"/>
      <c r="F34" s="167" t="n"/>
    </row>
    <row r="35" ht="19.5" customHeight="1" s="123">
      <c r="A35" s="163" t="n"/>
      <c r="B35" s="167" t="n"/>
      <c r="C35" s="180" t="n"/>
      <c r="D35" s="166" t="n"/>
      <c r="E35" s="166" t="n"/>
      <c r="F35" s="167" t="n"/>
    </row>
    <row r="36" ht="19.5" customHeight="1" s="123">
      <c r="A36" s="163" t="n"/>
      <c r="B36" s="167" t="n"/>
      <c r="C36" s="180" t="n"/>
      <c r="D36" s="166" t="n"/>
      <c r="E36" s="166" t="n"/>
      <c r="F36" s="167" t="n"/>
    </row>
    <row r="37" ht="19.5" customHeight="1" s="123">
      <c r="A37" s="163" t="n"/>
      <c r="B37" s="167" t="n"/>
      <c r="C37" s="180" t="n"/>
      <c r="D37" s="166" t="n"/>
      <c r="E37" s="166" t="n"/>
      <c r="F37" s="167" t="n"/>
    </row>
    <row r="38" ht="19.5" customHeight="1" s="123">
      <c r="A38" s="163" t="n"/>
      <c r="B38" s="167" t="n"/>
      <c r="C38" s="180" t="n"/>
      <c r="D38" s="166" t="n"/>
      <c r="E38" s="166" t="n"/>
      <c r="F38" s="167" t="n"/>
    </row>
    <row r="39" ht="19.5" customHeight="1" s="123">
      <c r="A39" s="163" t="n"/>
      <c r="B39" s="167" t="n"/>
      <c r="C39" s="180" t="n"/>
      <c r="D39" s="166" t="n"/>
      <c r="E39" s="166" t="n"/>
      <c r="F39" s="167" t="n"/>
    </row>
    <row r="40" ht="19.5" customHeight="1" s="123">
      <c r="A40" s="163" t="n"/>
      <c r="B40" s="167" t="n"/>
      <c r="C40" s="180" t="n"/>
      <c r="D40" s="166" t="n"/>
      <c r="E40" s="166" t="n"/>
      <c r="F40" s="167" t="n"/>
    </row>
    <row r="41" ht="19.5" customHeight="1" s="123">
      <c r="A41" s="163" t="n"/>
      <c r="B41" s="167" t="n"/>
      <c r="C41" s="180" t="n"/>
      <c r="D41" s="166" t="n"/>
      <c r="E41" s="166" t="n"/>
      <c r="F41" s="167" t="n"/>
    </row>
    <row r="42" ht="19.5" customHeight="1" s="123">
      <c r="A42" s="163" t="n"/>
      <c r="B42" s="167" t="n"/>
      <c r="C42" s="180" t="n"/>
      <c r="D42" s="166" t="n"/>
      <c r="E42" s="166" t="n"/>
      <c r="F42" s="167" t="n"/>
    </row>
    <row r="43" ht="19.5" customHeight="1" s="123">
      <c r="A43" s="163" t="n"/>
      <c r="B43" s="167" t="n"/>
      <c r="C43" s="180" t="n"/>
      <c r="D43" s="166" t="n"/>
      <c r="E43" s="166" t="n"/>
      <c r="F43" s="167" t="n"/>
    </row>
    <row r="44" ht="19.5" customHeight="1" s="123">
      <c r="A44" s="163" t="n"/>
      <c r="B44" s="167" t="n"/>
      <c r="C44" s="180" t="n"/>
      <c r="D44" s="166" t="n"/>
      <c r="E44" s="166" t="n"/>
      <c r="F44" s="167" t="n"/>
    </row>
    <row r="45" ht="19.5" customHeight="1" s="123">
      <c r="A45" s="163" t="n"/>
      <c r="B45" s="167" t="n"/>
      <c r="C45" s="180" t="n"/>
      <c r="D45" s="166" t="n"/>
      <c r="E45" s="166" t="n"/>
      <c r="F45" s="167" t="n"/>
    </row>
    <row r="46" ht="7.5" customHeight="1" s="123">
      <c r="A46" s="163" t="n"/>
      <c r="B46" s="167" t="n"/>
      <c r="C46" s="180" t="n"/>
      <c r="D46" s="166" t="n"/>
      <c r="E46" s="166" t="n"/>
      <c r="F46" s="167" t="n"/>
    </row>
    <row r="47" ht="27.75" customHeight="1" s="123">
      <c r="A47" s="163" t="n"/>
      <c r="B47" s="167" t="n"/>
      <c r="C47" s="180" t="n"/>
      <c r="D47" s="166" t="n"/>
      <c r="E47" s="166" t="n"/>
      <c r="F47" s="167" t="n"/>
    </row>
    <row r="48" ht="15.75" customHeight="1" s="123">
      <c r="A48" s="163" t="n"/>
      <c r="B48" s="167" t="n"/>
      <c r="C48" s="180" t="n"/>
      <c r="D48" s="166" t="n"/>
      <c r="E48" s="166" t="n"/>
      <c r="F48" s="167" t="n"/>
    </row>
    <row r="49" ht="15" customHeight="1" s="123">
      <c r="A49" s="163" t="n"/>
      <c r="B49" s="167" t="n"/>
      <c r="C49" s="180" t="n"/>
      <c r="D49" s="166" t="n"/>
      <c r="E49" s="166" t="n"/>
      <c r="F49" s="167" t="n"/>
    </row>
    <row r="50" ht="15" customHeight="1" s="123">
      <c r="A50" s="163" t="n"/>
      <c r="B50" s="167" t="n"/>
      <c r="C50" s="180" t="n"/>
      <c r="D50" s="166" t="n"/>
      <c r="E50" s="166" t="n"/>
      <c r="F50" s="167" t="n"/>
    </row>
    <row r="51" ht="15" customHeight="1" s="123">
      <c r="A51" s="163" t="n"/>
      <c r="B51" s="167" t="n"/>
      <c r="C51" s="180" t="n"/>
      <c r="D51" s="166" t="n"/>
      <c r="E51" s="166" t="n"/>
      <c r="F51" s="167" t="n"/>
    </row>
    <row r="52" ht="15" customHeight="1" s="123">
      <c r="A52" s="163" t="n"/>
      <c r="B52" s="167" t="n"/>
      <c r="C52" s="180" t="n"/>
      <c r="D52" s="166" t="n"/>
      <c r="E52" s="166" t="n"/>
      <c r="F52" s="167" t="n"/>
    </row>
    <row r="53" ht="15" customHeight="1" s="123">
      <c r="A53" s="181" t="n"/>
      <c r="B53" s="182" t="n"/>
      <c r="C53" s="183" t="n"/>
      <c r="D53" s="176" t="n"/>
      <c r="E53" s="176" t="n"/>
      <c r="F53" s="182" t="n"/>
    </row>
    <row r="54" ht="15" customHeight="1" s="123">
      <c r="A54" s="184" t="n"/>
      <c r="B54" s="169" t="n"/>
      <c r="C54" s="170" t="n"/>
      <c r="D54" s="178" t="n"/>
      <c r="E54" s="178" t="n"/>
      <c r="F54" s="179" t="n"/>
    </row>
    <row r="55" ht="15" customHeight="1" s="123">
      <c r="A55" s="185" t="n"/>
      <c r="B55" s="182" t="n"/>
      <c r="C55" s="183" t="n"/>
      <c r="D55" s="176" t="n"/>
      <c r="E55" s="176" t="n"/>
      <c r="F55" s="186" t="n"/>
    </row>
    <row r="56" ht="15" customHeight="1" s="123">
      <c r="A56" s="187" t="n"/>
      <c r="B56" s="169" t="n"/>
      <c r="C56" s="170" t="n"/>
      <c r="D56" s="188" t="n"/>
      <c r="E56" s="178" t="n"/>
      <c r="F56" s="179" t="n"/>
    </row>
    <row r="57" ht="15" customHeight="1" s="123">
      <c r="A57" s="189" t="n"/>
      <c r="D57" s="178" t="n"/>
      <c r="E57" s="190" t="n"/>
      <c r="F57" s="179" t="n"/>
    </row>
    <row r="58" ht="15" customHeight="1" s="123">
      <c r="A58" s="191" t="n"/>
      <c r="D58" s="192" t="n"/>
      <c r="E58" s="192" t="n"/>
      <c r="F58" s="193" t="n"/>
    </row>
    <row r="59" ht="15" customHeight="1" s="123">
      <c r="A59" s="181" t="n"/>
      <c r="B59" s="174" t="n"/>
      <c r="C59" s="175" t="n"/>
      <c r="D59" s="176" t="n"/>
      <c r="E59" s="176" t="n"/>
      <c r="F59" s="182" t="n"/>
    </row>
    <row r="60" ht="15" customHeight="1" s="123"/>
    <row r="61" ht="15" customHeight="1" s="123">
      <c r="A61" s="194" t="n"/>
      <c r="B61" s="169" t="n"/>
      <c r="C61" s="170" t="n"/>
      <c r="D61" s="178" t="n"/>
      <c r="E61" s="178" t="n"/>
      <c r="F61" s="195" t="n"/>
    </row>
    <row r="62">
      <c r="A62" s="196" t="n"/>
      <c r="B62" s="174" t="n"/>
      <c r="C62" s="175" t="n"/>
      <c r="F62" s="197" t="n"/>
    </row>
  </sheetData>
  <mergeCells count="5">
    <mergeCell ref="A28:C28"/>
    <mergeCell ref="A2:F2"/>
    <mergeCell ref="A1:F1"/>
    <mergeCell ref="A3:F3"/>
    <mergeCell ref="A29:C29"/>
  </mergeCells>
  <hyperlinks>
    <hyperlink ref="C8" location="'Ticket Cena'!A1" display="🧾 Ver Ticket Cena"/>
    <hyperlink xmlns:r="http://schemas.openxmlformats.org/officeDocument/2006/relationships" ref="C10" display="🧾 Ver Ticket Compras (2)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12"/>
  <sheetViews>
    <sheetView showFormulas="0" showGridLines="0" showRowColHeaders="1" showZeros="1" rightToLeft="0" tabSelected="0" showOutlineSymbols="1" defaultGridColor="1" view="normal" topLeftCell="A4" colorId="64" zoomScale="100" zoomScaleNormal="100" zoomScalePageLayoutView="100" workbookViewId="0">
      <selection pane="topLeft" activeCell="B16" activeCellId="0" sqref="B16"/>
    </sheetView>
  </sheetViews>
  <sheetFormatPr baseColWidth="8" defaultColWidth="9.1484375" defaultRowHeight="15" zeroHeight="0" outlineLevelRow="0"/>
  <cols>
    <col width="32" customWidth="1" style="122" min="1" max="1"/>
    <col width="18" customWidth="1" style="122" min="2" max="4"/>
  </cols>
  <sheetData>
    <row r="1" ht="60" customHeight="1" s="123">
      <c r="A1" s="198" t="inlineStr">
        <is>
          <t>PEÑA TAURINA PEGUERINOS — RESUMEN ANUAL</t>
        </is>
      </c>
    </row>
    <row r="2" ht="21.75" customHeight="1" s="123">
      <c r="A2" s="199" t="inlineStr">
        <is>
          <t>Ejercicio 2026</t>
        </is>
      </c>
    </row>
    <row r="3" ht="7.5" customHeight="1" s="123"/>
    <row r="4" ht="27.75" customHeight="1" s="123">
      <c r="A4" s="127" t="inlineStr">
        <is>
          <t>CATEGORÍA</t>
        </is>
      </c>
      <c r="B4" s="127" t="inlineStr">
        <is>
          <t>INGRESOS (€)</t>
        </is>
      </c>
      <c r="C4" s="127" t="inlineStr">
        <is>
          <t>GASTOS (€)</t>
        </is>
      </c>
      <c r="D4" s="127" t="inlineStr">
        <is>
          <t>SALDO (€)</t>
        </is>
      </c>
    </row>
    <row r="5" ht="21.75" customHeight="1" s="123">
      <c r="A5" s="200" t="inlineStr">
        <is>
          <t>Cuotas socios</t>
        </is>
      </c>
      <c r="B5" s="201">
        <f>'Registro 2026'!D6</f>
        <v/>
      </c>
      <c r="C5" s="201" t="n">
        <v>0</v>
      </c>
      <c r="D5" s="201">
        <f>B5-C5</f>
        <v/>
      </c>
      <c r="E5" s="202" t="n"/>
      <c r="F5" s="202" t="n"/>
    </row>
    <row r="6" ht="21.75" customHeight="1" s="123">
      <c r="A6" s="200" t="inlineStr">
        <is>
          <t>Lotería</t>
        </is>
      </c>
      <c r="B6" s="201">
        <f>SUMIF('Registro 2026'!B6:B27,"Venta Loter?a",'Registro 2026'!D6:D27)</f>
        <v/>
      </c>
      <c r="C6" s="201" t="n">
        <v>0</v>
      </c>
      <c r="D6" s="201">
        <f>B6-C6</f>
        <v/>
      </c>
      <c r="E6" s="202" t="n"/>
      <c r="F6" s="202" t="n"/>
    </row>
    <row r="7" ht="21.75" customHeight="1" s="123">
      <c r="A7" s="203" t="inlineStr">
        <is>
          <t>Cenas y convivencias</t>
        </is>
      </c>
      <c r="B7" s="204" t="n">
        <v>0</v>
      </c>
      <c r="C7" s="204">
        <f>'Registro 2026'!E8+'Registro 2026'!E10</f>
        <v/>
      </c>
      <c r="D7" s="204">
        <f>B7-C7</f>
        <v/>
      </c>
    </row>
    <row r="8" ht="21.75" customHeight="1" s="123">
      <c r="A8" s="203" t="inlineStr">
        <is>
          <t>Material papelería</t>
        </is>
      </c>
      <c r="B8" s="204" t="n">
        <v>0</v>
      </c>
      <c r="C8" s="204">
        <f>'Registro 2026'!E14</f>
        <v/>
      </c>
      <c r="D8" s="204">
        <f>B8-C8</f>
        <v/>
      </c>
    </row>
    <row r="9" ht="21.75" customHeight="1" s="123">
      <c r="A9" s="205" t="inlineStr">
        <is>
          <t>Entradas corrida (y devolución)</t>
        </is>
      </c>
      <c r="B9" s="206">
        <f>'Registro 2026'!D19</f>
        <v/>
      </c>
      <c r="C9" s="206">
        <f>'Registro 2026'!E16</f>
        <v/>
      </c>
      <c r="D9" s="206">
        <f>B9-C9</f>
        <v/>
      </c>
      <c r="E9" s="207" t="n"/>
      <c r="F9" s="207" t="n"/>
    </row>
    <row r="10" ht="21.75" customHeight="1" s="123">
      <c r="A10" s="200" t="inlineStr">
        <is>
          <t>Toro de fuego</t>
        </is>
      </c>
      <c r="B10" s="201" t="n">
        <v>0</v>
      </c>
      <c r="C10" s="201">
        <f>'Registro 2026'!E24</f>
        <v/>
      </c>
      <c r="D10" s="201">
        <f>B10-C10</f>
        <v/>
      </c>
      <c r="E10" s="202" t="n"/>
      <c r="F10" s="202" t="n"/>
    </row>
    <row r="11" ht="21.75" customHeight="1" s="123">
      <c r="A11" s="203" t="inlineStr">
        <is>
          <t>Otros</t>
        </is>
      </c>
      <c r="B11" s="204" t="n">
        <v>0</v>
      </c>
      <c r="C11" s="204" t="n">
        <v>0</v>
      </c>
      <c r="D11" s="204">
        <f>B11-C11</f>
        <v/>
      </c>
    </row>
    <row r="12" ht="27.75" customHeight="1" s="123">
      <c r="A12" s="208" t="inlineStr">
        <is>
          <t>TOTAL</t>
        </is>
      </c>
      <c r="B12" s="178">
        <f>SUM(B5:B11)</f>
        <v/>
      </c>
      <c r="C12" s="178">
        <f>SUM(C5:C11)</f>
        <v/>
      </c>
      <c r="D12" s="178">
        <f>B12-C12</f>
        <v/>
      </c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5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C26" activeCellId="0" sqref="C26"/>
    </sheetView>
  </sheetViews>
  <sheetFormatPr baseColWidth="8" defaultColWidth="9.1484375" defaultRowHeight="15" zeroHeight="0" outlineLevelRow="0"/>
  <cols>
    <col width="6" customWidth="1" style="122" min="1" max="1"/>
    <col width="30" customWidth="1" style="122" min="2" max="2"/>
    <col width="14" customWidth="1" style="122" min="3" max="6"/>
    <col width="16" customWidth="1" style="122" min="7" max="7"/>
  </cols>
  <sheetData>
    <row r="1" ht="60" customHeight="1" s="123">
      <c r="A1" s="198" t="inlineStr">
        <is>
          <t>PEÑA TAURINA PEGUERINOS — CONTROL DE CUOTAS</t>
        </is>
      </c>
    </row>
    <row r="2" ht="21.75" customHeight="1" s="123">
      <c r="A2" s="209" t="inlineStr">
        <is>
          <t>Cuota anual: 100 € en dos plazos de 50 € (marzo y septiembre)</t>
        </is>
      </c>
    </row>
    <row r="3" ht="7.5" customHeight="1" s="123"/>
    <row r="4" ht="30" customHeight="1" s="123">
      <c r="A4" s="210" t="inlineStr">
        <is>
          <t>Nº</t>
        </is>
      </c>
      <c r="B4" s="210" t="inlineStr">
        <is>
          <t>NOMBRE Y APELLIDOS</t>
        </is>
      </c>
      <c r="C4" s="210" t="inlineStr">
        <is>
          <t>1.er PLAZO
Marzo</t>
        </is>
      </c>
      <c r="D4" s="210" t="inlineStr">
        <is>
          <t>PAGADO
Marzo</t>
        </is>
      </c>
      <c r="E4" s="210" t="inlineStr">
        <is>
          <t>2.º PLAZO
Septiembre</t>
        </is>
      </c>
      <c r="F4" s="210" t="inlineStr">
        <is>
          <t>PAGADO
Sept.</t>
        </is>
      </c>
      <c r="G4" s="211" t="inlineStr">
        <is>
          <t>ESTADO</t>
        </is>
      </c>
    </row>
    <row r="5" ht="21.75" customHeight="1" s="123">
      <c r="A5" s="212" t="n">
        <v>1</v>
      </c>
      <c r="B5" s="213" t="inlineStr">
        <is>
          <t>Miguel Ángel Rodríguez Fariña</t>
        </is>
      </c>
      <c r="C5" s="214" t="n">
        <v>50</v>
      </c>
      <c r="D5" s="215" t="inlineStr">
        <is>
          <t>si</t>
        </is>
      </c>
      <c r="E5" s="214" t="n">
        <v>50</v>
      </c>
      <c r="F5" s="216" t="inlineStr">
        <is>
          <t>si</t>
        </is>
      </c>
      <c r="G5" s="217" t="n"/>
    </row>
    <row r="6" ht="21.75" customHeight="1" s="123">
      <c r="A6" s="212" t="n">
        <v>2</v>
      </c>
      <c r="B6" s="213" t="n"/>
      <c r="C6" s="214" t="n"/>
      <c r="D6" s="215" t="n"/>
      <c r="E6" s="214" t="n"/>
      <c r="F6" s="216" t="n"/>
      <c r="G6" s="217" t="n"/>
    </row>
    <row r="7" ht="21.75" customHeight="1" s="123">
      <c r="A7" s="218" t="n">
        <v>3</v>
      </c>
      <c r="B7" s="219" t="inlineStr">
        <is>
          <t>Daniel Álvarez García</t>
        </is>
      </c>
      <c r="C7" s="220" t="n">
        <v>50</v>
      </c>
      <c r="D7" s="221" t="inlineStr">
        <is>
          <t>si</t>
        </is>
      </c>
      <c r="E7" s="220" t="n">
        <v>50</v>
      </c>
      <c r="F7" s="216" t="inlineStr">
        <is>
          <t>Sí</t>
        </is>
      </c>
      <c r="G7" s="223" t="n"/>
    </row>
    <row r="8" ht="21.75" customHeight="1" s="123">
      <c r="A8" s="212" t="n">
        <v>4</v>
      </c>
      <c r="B8" s="213" t="inlineStr">
        <is>
          <t>Joaquín Rodríguez Fariña</t>
        </is>
      </c>
      <c r="C8" s="214" t="n">
        <v>50</v>
      </c>
      <c r="D8" s="215" t="inlineStr">
        <is>
          <t>si</t>
        </is>
      </c>
      <c r="E8" s="214" t="n">
        <v>50</v>
      </c>
      <c r="F8" s="216" t="inlineStr">
        <is>
          <t>si</t>
        </is>
      </c>
      <c r="G8" s="217" t="n"/>
    </row>
    <row r="9" ht="21.75" customHeight="1" s="123">
      <c r="A9" s="218" t="n">
        <v>5</v>
      </c>
      <c r="B9" s="219" t="inlineStr">
        <is>
          <t>Juan Fernando Casado Tormo</t>
        </is>
      </c>
      <c r="C9" s="220" t="n">
        <v>50</v>
      </c>
      <c r="D9" s="221" t="inlineStr">
        <is>
          <t>si</t>
        </is>
      </c>
      <c r="E9" s="220" t="n">
        <v>50</v>
      </c>
      <c r="F9" s="222" t="inlineStr">
        <is>
          <t>si</t>
        </is>
      </c>
      <c r="G9" s="223" t="n"/>
    </row>
    <row r="10" ht="21.75" customHeight="1" s="123">
      <c r="A10" s="212" t="n">
        <v>6</v>
      </c>
      <c r="B10" s="213" t="inlineStr">
        <is>
          <t>Félix Rodríguez</t>
        </is>
      </c>
      <c r="C10" s="214" t="n">
        <v>50</v>
      </c>
      <c r="D10" s="215" t="inlineStr">
        <is>
          <t>si</t>
        </is>
      </c>
      <c r="E10" s="214" t="n">
        <v>50</v>
      </c>
      <c r="F10" s="216" t="inlineStr">
        <is>
          <t>si</t>
        </is>
      </c>
      <c r="G10" s="217" t="n"/>
    </row>
    <row r="11" ht="21.75" customHeight="1" s="123">
      <c r="A11" s="218" t="n">
        <v>7</v>
      </c>
      <c r="B11" s="219" t="inlineStr">
        <is>
          <t>José Carlos García Pozo</t>
        </is>
      </c>
      <c r="C11" s="220" t="n">
        <v>50</v>
      </c>
      <c r="D11" s="221" t="inlineStr">
        <is>
          <t>si</t>
        </is>
      </c>
      <c r="E11" s="220" t="n">
        <v>50</v>
      </c>
      <c r="F11" s="222" t="inlineStr">
        <is>
          <t>No</t>
        </is>
      </c>
      <c r="G11" s="223" t="n"/>
    </row>
    <row r="12" ht="21.75" customHeight="1" s="123">
      <c r="A12" s="212" t="n">
        <v>8</v>
      </c>
      <c r="B12" s="213" t="inlineStr">
        <is>
          <t>Jaime Vila-Coro Laviña</t>
        </is>
      </c>
      <c r="C12" s="214" t="n">
        <v>50</v>
      </c>
      <c r="D12" s="215" t="inlineStr">
        <is>
          <t>si</t>
        </is>
      </c>
      <c r="E12" s="214" t="n">
        <v>50</v>
      </c>
      <c r="F12" s="216" t="inlineStr">
        <is>
          <t>si</t>
        </is>
      </c>
      <c r="G12" s="217" t="n"/>
    </row>
    <row r="13" ht="21.75" customHeight="1" s="123">
      <c r="A13" s="218" t="n">
        <v>9</v>
      </c>
      <c r="B13" s="219" t="inlineStr">
        <is>
          <t>José Luis Cañaveral-Fernández</t>
        </is>
      </c>
      <c r="C13" s="220" t="n">
        <v>50</v>
      </c>
      <c r="D13" s="221" t="inlineStr">
        <is>
          <t>si</t>
        </is>
      </c>
      <c r="E13" s="220" t="n">
        <v>50</v>
      </c>
      <c r="F13" s="222" t="inlineStr">
        <is>
          <t>Sí</t>
        </is>
      </c>
      <c r="G13" s="223" t="n"/>
    </row>
    <row r="14" ht="21.75" customHeight="1" s="123">
      <c r="A14" s="212" t="n">
        <v>10</v>
      </c>
      <c r="B14" s="213" t="inlineStr">
        <is>
          <t>Alejandro Tanarro García</t>
        </is>
      </c>
      <c r="C14" s="214" t="n">
        <v>50</v>
      </c>
      <c r="D14" s="215" t="inlineStr">
        <is>
          <t>si</t>
        </is>
      </c>
      <c r="E14" s="214" t="n">
        <v>50</v>
      </c>
      <c r="F14" s="216" t="inlineStr">
        <is>
          <t>si</t>
        </is>
      </c>
      <c r="G14" s="217" t="n"/>
    </row>
    <row r="15" ht="21.75" customHeight="1" s="123">
      <c r="A15" s="218" t="n">
        <v>11</v>
      </c>
      <c r="B15" s="219" t="inlineStr">
        <is>
          <t>Luis Alfonso García</t>
        </is>
      </c>
      <c r="C15" s="220" t="n">
        <v>50</v>
      </c>
      <c r="D15" s="221" t="inlineStr">
        <is>
          <t>si</t>
        </is>
      </c>
      <c r="E15" s="220" t="n">
        <v>50</v>
      </c>
      <c r="F15" s="222" t="inlineStr">
        <is>
          <t>si</t>
        </is>
      </c>
      <c r="G15" s="223" t="n"/>
    </row>
    <row r="16" ht="21.75" customHeight="1" s="123">
      <c r="A16" s="212" t="n">
        <v>12</v>
      </c>
      <c r="B16" s="213" t="inlineStr">
        <is>
          <t>José Miguel Cañaveral-Fernández Santos</t>
        </is>
      </c>
      <c r="C16" s="214" t="n">
        <v>50</v>
      </c>
      <c r="D16" s="216" t="inlineStr">
        <is>
          <t>SI</t>
        </is>
      </c>
      <c r="E16" s="214" t="n">
        <v>50</v>
      </c>
      <c r="F16" s="216" t="inlineStr">
        <is>
          <t>Sí</t>
        </is>
      </c>
      <c r="G16" s="217" t="n"/>
    </row>
    <row r="17" ht="21.75" customHeight="1" s="123">
      <c r="A17" s="212" t="n">
        <v>13</v>
      </c>
      <c r="B17" s="224" t="inlineStr">
        <is>
          <t>Alfonso Rilo</t>
        </is>
      </c>
      <c r="C17" s="225" t="n">
        <v>50</v>
      </c>
      <c r="D17" s="226" t="inlineStr">
        <is>
          <t>Sí</t>
        </is>
      </c>
      <c r="E17" s="225" t="n">
        <v>50</v>
      </c>
      <c r="F17" s="226" t="inlineStr">
        <is>
          <t>Sí</t>
        </is>
      </c>
      <c r="G17" s="227" t="n"/>
    </row>
    <row r="18" ht="21.75" customHeight="1" s="123">
      <c r="A18" s="218" t="n">
        <v>14</v>
      </c>
      <c r="B18" s="228" t="inlineStr">
        <is>
          <t>Sergio Monge Gómez</t>
        </is>
      </c>
      <c r="C18" s="229" t="n">
        <v>50</v>
      </c>
      <c r="D18" s="230" t="inlineStr">
        <is>
          <t>Sí</t>
        </is>
      </c>
      <c r="E18" s="229" t="n">
        <v>50</v>
      </c>
      <c r="F18" s="230" t="inlineStr">
        <is>
          <t>Sí</t>
        </is>
      </c>
      <c r="G18" s="231" t="n"/>
    </row>
    <row r="19" ht="21.75" customFormat="1" customHeight="1" s="232">
      <c r="A19" s="218" t="n">
        <v>15</v>
      </c>
      <c r="B19" s="228" t="inlineStr">
        <is>
          <t>Jose Antonio Galvez</t>
        </is>
      </c>
      <c r="C19" s="229" t="n">
        <v>50</v>
      </c>
      <c r="D19" s="230" t="inlineStr">
        <is>
          <t>Si</t>
        </is>
      </c>
      <c r="E19" s="229" t="n">
        <v>50</v>
      </c>
      <c r="F19" s="230" t="inlineStr">
        <is>
          <t>No</t>
        </is>
      </c>
      <c r="G19" s="233" t="n"/>
    </row>
    <row r="20" ht="21.75" customHeight="1" s="123">
      <c r="A20" s="218" t="n">
        <v>16</v>
      </c>
      <c r="B20" s="228" t="inlineStr">
        <is>
          <t>Victor Perez</t>
        </is>
      </c>
      <c r="C20" s="229" t="n">
        <v>50</v>
      </c>
      <c r="D20" s="230" t="inlineStr">
        <is>
          <t>Si</t>
        </is>
      </c>
      <c r="E20" s="229" t="n">
        <v>50</v>
      </c>
      <c r="F20" s="230" t="inlineStr">
        <is>
          <t>Si</t>
        </is>
      </c>
      <c r="G20" s="223" t="n"/>
    </row>
    <row r="21" ht="21.75" customHeight="1" s="123">
      <c r="A21" s="218" t="n">
        <v>17</v>
      </c>
      <c r="B21" s="228" t="inlineStr">
        <is>
          <t>Antonio Rosado</t>
        </is>
      </c>
      <c r="C21" s="229" t="n">
        <v>50</v>
      </c>
      <c r="D21" s="230" t="inlineStr">
        <is>
          <t>Si</t>
        </is>
      </c>
      <c r="E21" s="229" t="n">
        <v>50</v>
      </c>
      <c r="F21" s="230" t="inlineStr">
        <is>
          <t>No</t>
        </is>
      </c>
      <c r="G21" s="233" t="n"/>
    </row>
    <row r="22" ht="21.75" customHeight="1" s="123">
      <c r="A22" s="218" t="n"/>
      <c r="B22" s="228" t="n"/>
      <c r="C22" s="229" t="n"/>
      <c r="D22" s="230" t="n"/>
      <c r="E22" s="229" t="n"/>
      <c r="F22" s="230" t="n"/>
      <c r="G22" s="233" t="n"/>
    </row>
    <row r="23" ht="21.75" customHeight="1" s="123">
      <c r="A23" s="218" t="n"/>
      <c r="B23" s="228" t="n"/>
      <c r="C23" s="229" t="n"/>
      <c r="D23" s="230" t="n"/>
      <c r="E23" s="229" t="n"/>
      <c r="F23" s="230" t="n"/>
      <c r="G23" s="231" t="n"/>
    </row>
    <row r="24" ht="21.75" customHeight="1" s="123">
      <c r="A24" s="218" t="n"/>
      <c r="B24" s="228" t="n"/>
      <c r="C24" s="229" t="n"/>
      <c r="D24" s="230" t="n"/>
      <c r="E24" s="229" t="n"/>
      <c r="F24" s="230" t="n"/>
      <c r="G24" s="231" t="n"/>
    </row>
    <row r="25" ht="21.75" customHeight="1" s="123">
      <c r="A25" s="218" t="n"/>
      <c r="B25" s="228" t="n"/>
      <c r="C25" s="229" t="n"/>
      <c r="D25" s="230" t="n"/>
      <c r="E25" s="229" t="n"/>
      <c r="F25" s="230" t="n"/>
      <c r="G25" s="231" t="n"/>
    </row>
    <row r="26" ht="25.5" customHeight="1" s="123">
      <c r="A26" s="234" t="inlineStr">
        <is>
          <t>TOTAL RECAUDADO</t>
        </is>
      </c>
      <c r="B26" s="235" t="n"/>
      <c r="C26" s="236" t="n">
        <v>800</v>
      </c>
      <c r="D26" s="237" t="n"/>
      <c r="E26" s="236" t="n">
        <v>650</v>
      </c>
      <c r="F26" s="237" t="n"/>
      <c r="G26" s="237" t="n"/>
    </row>
    <row r="27" ht="15" customHeight="1" s="123">
      <c r="A27" s="238" t="n"/>
      <c r="B27" s="238" t="n"/>
      <c r="C27" s="239" t="n"/>
      <c r="D27" s="238" t="n"/>
      <c r="E27" s="238" t="n"/>
      <c r="F27" s="238" t="n"/>
      <c r="G27" s="238" t="n"/>
    </row>
    <row r="28" ht="24" customHeight="1" s="123">
      <c r="A28" s="240" t="inlineStr">
        <is>
          <t>SOCIOS SIMPATIZANTES</t>
        </is>
      </c>
      <c r="G28" s="241" t="n"/>
    </row>
    <row r="29" ht="15" customHeight="1" s="123">
      <c r="A29" s="242" t="inlineStr">
        <is>
          <t>Aportación voluntaria de apoyo a la Peña, cuota distinta a la de socio de número</t>
        </is>
      </c>
      <c r="G29" s="241" t="n"/>
    </row>
    <row r="30" ht="15" customHeight="1" s="123">
      <c r="A30" s="238" t="n"/>
      <c r="B30" s="238" t="n"/>
      <c r="C30" s="238" t="n"/>
      <c r="D30" s="238" t="n"/>
      <c r="E30" s="238" t="n"/>
      <c r="F30" s="238" t="n"/>
      <c r="G30" s="238" t="n"/>
    </row>
    <row r="31" ht="30" customHeight="1" s="123">
      <c r="A31" s="210" t="inlineStr">
        <is>
          <t>Nº</t>
        </is>
      </c>
      <c r="B31" s="210" t="inlineStr">
        <is>
          <t>NOMBRE Y APELLIDOS</t>
        </is>
      </c>
      <c r="C31" s="210" t="inlineStr">
        <is>
          <t>CUOTA ANUAL (€)</t>
        </is>
      </c>
      <c r="D31" s="210" t="inlineStr">
        <is>
          <t>PAGADO</t>
        </is>
      </c>
      <c r="E31" s="210" t="inlineStr">
        <is>
          <t>FECHA PAGO</t>
        </is>
      </c>
      <c r="F31" s="210" t="inlineStr">
        <is>
          <t>NOTAS</t>
        </is>
      </c>
      <c r="G31" s="238" t="n"/>
    </row>
    <row r="32" ht="15" customHeight="1" s="123">
      <c r="A32" s="212" t="n">
        <v>1</v>
      </c>
      <c r="B32" s="213" t="inlineStr">
        <is>
          <t>Carlos Herranz</t>
        </is>
      </c>
      <c r="C32" s="214" t="n">
        <v>40</v>
      </c>
      <c r="D32" s="215" t="inlineStr">
        <is>
          <t>No</t>
        </is>
      </c>
      <c r="E32" s="215" t="n"/>
      <c r="F32" s="213" t="n"/>
      <c r="G32" s="238" t="n"/>
    </row>
    <row r="33" ht="15" customHeight="1" s="123">
      <c r="A33" s="238" t="n"/>
      <c r="B33" s="238" t="n"/>
      <c r="C33" s="238" t="n"/>
      <c r="D33" s="238" t="n"/>
      <c r="E33" s="238" t="n"/>
      <c r="F33" s="238" t="n"/>
      <c r="G33" s="238" t="n"/>
    </row>
    <row r="34" ht="15" customHeight="1" s="123">
      <c r="A34" s="234" t="inlineStr">
        <is>
          <t>TOTAL RECAUDADO</t>
        </is>
      </c>
      <c r="B34" s="235" t="n"/>
      <c r="C34" s="236">
        <f>SUM(C32:C32)</f>
        <v/>
      </c>
      <c r="D34" s="238" t="n"/>
      <c r="E34" s="238" t="n"/>
      <c r="F34" s="238" t="n"/>
      <c r="G34" s="238" t="n"/>
    </row>
    <row r="35" ht="15" customHeight="1" s="123">
      <c r="A35" s="238" t="n"/>
      <c r="B35" s="238" t="n"/>
      <c r="C35" s="238" t="n"/>
      <c r="D35" s="238" t="n"/>
      <c r="E35" s="238" t="n"/>
      <c r="F35" s="238" t="n"/>
      <c r="G35" s="238" t="n"/>
    </row>
    <row r="36" ht="15" customHeight="1" s="123">
      <c r="A36" s="238" t="n"/>
      <c r="B36" s="238" t="n"/>
      <c r="C36" s="238" t="n"/>
      <c r="D36" s="238" t="n"/>
      <c r="E36" s="238" t="n"/>
      <c r="F36" s="238" t="n"/>
      <c r="G36" s="238" t="n"/>
    </row>
    <row r="37" ht="15" customHeight="1" s="123">
      <c r="A37" s="238" t="n"/>
      <c r="B37" s="238" t="n"/>
      <c r="C37" s="238" t="n"/>
      <c r="D37" s="238" t="n"/>
      <c r="E37" s="238" t="n"/>
      <c r="F37" s="238" t="n"/>
      <c r="G37" s="238" t="n"/>
    </row>
    <row r="38" ht="15" customHeight="1" s="123">
      <c r="A38" s="238" t="n"/>
      <c r="B38" s="238" t="n"/>
      <c r="C38" s="238" t="n"/>
      <c r="D38" s="238" t="n"/>
      <c r="E38" s="238" t="n"/>
      <c r="F38" s="238" t="n"/>
      <c r="G38" s="238" t="n"/>
    </row>
    <row r="39" ht="15" customHeight="1" s="123">
      <c r="A39" s="238" t="n"/>
      <c r="B39" s="238" t="n"/>
      <c r="C39" s="238" t="n"/>
      <c r="D39" s="238" t="n"/>
      <c r="E39" s="238" t="n"/>
      <c r="F39" s="238" t="n"/>
      <c r="G39" s="238" t="n"/>
    </row>
    <row r="40" ht="15" customHeight="1" s="123">
      <c r="A40" s="238" t="n"/>
      <c r="B40" s="238" t="n"/>
      <c r="C40" s="238" t="n"/>
      <c r="D40" s="238" t="n"/>
      <c r="E40" s="238" t="n"/>
      <c r="F40" s="238" t="n"/>
      <c r="G40" s="238" t="n"/>
    </row>
    <row r="41" ht="15" customHeight="1" s="123">
      <c r="A41" s="238" t="n"/>
      <c r="B41" s="238" t="n"/>
      <c r="C41" s="238" t="n"/>
      <c r="D41" s="238" t="n"/>
      <c r="E41" s="238" t="n"/>
      <c r="F41" s="238" t="n"/>
      <c r="G41" s="238" t="n"/>
    </row>
    <row r="42" ht="15" customHeight="1" s="123">
      <c r="A42" s="238" t="n"/>
      <c r="B42" s="238" t="n"/>
      <c r="C42" s="238" t="n"/>
      <c r="D42" s="238" t="n"/>
      <c r="E42" s="238" t="n"/>
      <c r="F42" s="238" t="n"/>
      <c r="G42" s="238" t="n"/>
    </row>
    <row r="43" ht="15" customHeight="1" s="123">
      <c r="A43" s="238" t="n"/>
      <c r="B43" s="238" t="n"/>
      <c r="C43" s="238" t="n"/>
      <c r="D43" s="238" t="n"/>
      <c r="E43" s="238" t="n"/>
      <c r="F43" s="238" t="n"/>
      <c r="G43" s="238" t="n"/>
    </row>
    <row r="44" ht="15" customHeight="1" s="123">
      <c r="A44" s="238" t="n"/>
      <c r="B44" s="238" t="n"/>
      <c r="C44" s="238" t="n"/>
      <c r="D44" s="238" t="n"/>
      <c r="E44" s="238" t="n"/>
      <c r="F44" s="238" t="n"/>
      <c r="G44" s="238" t="n"/>
    </row>
    <row r="45" ht="15" customHeight="1" s="123">
      <c r="A45" s="238" t="n"/>
      <c r="B45" s="238" t="n"/>
      <c r="C45" s="238" t="n"/>
      <c r="D45" s="238" t="n"/>
      <c r="E45" s="238" t="n"/>
      <c r="F45" s="238" t="n"/>
      <c r="G45" s="238" t="n"/>
    </row>
    <row r="46" ht="15" customHeight="1" s="123">
      <c r="A46" s="238" t="n"/>
      <c r="B46" s="238" t="n"/>
      <c r="C46" s="238" t="n"/>
      <c r="D46" s="238" t="n"/>
      <c r="E46" s="238" t="n"/>
      <c r="F46" s="238" t="n"/>
      <c r="G46" s="238" t="n"/>
    </row>
    <row r="47" ht="15" customHeight="1" s="123">
      <c r="A47" s="238" t="n"/>
      <c r="B47" s="238" t="n"/>
      <c r="C47" s="238" t="n"/>
      <c r="D47" s="238" t="n"/>
      <c r="E47" s="238" t="n"/>
      <c r="F47" s="238" t="n"/>
      <c r="G47" s="238" t="n"/>
    </row>
    <row r="48" ht="15" customHeight="1" s="123">
      <c r="A48" s="238" t="n"/>
      <c r="B48" s="238" t="n"/>
      <c r="C48" s="238" t="n"/>
      <c r="D48" s="238" t="n"/>
      <c r="E48" s="238" t="n"/>
      <c r="F48" s="238" t="n"/>
      <c r="G48" s="238" t="n"/>
    </row>
    <row r="49" ht="15" customHeight="1" s="123">
      <c r="A49" s="238" t="n"/>
      <c r="B49" s="238" t="n"/>
      <c r="C49" s="238" t="n"/>
      <c r="D49" s="238" t="n"/>
      <c r="E49" s="238" t="n"/>
      <c r="F49" s="238" t="n"/>
      <c r="G49" s="238" t="n"/>
    </row>
    <row r="50" ht="15" customHeight="1" s="123">
      <c r="A50" s="238" t="n"/>
      <c r="B50" s="238" t="n"/>
      <c r="C50" s="238" t="n"/>
      <c r="D50" s="238" t="n"/>
      <c r="E50" s="238" t="n"/>
      <c r="F50" s="238" t="n"/>
      <c r="G50" s="238" t="n"/>
    </row>
    <row r="51" ht="15" customHeight="1" s="123">
      <c r="A51" s="238" t="n"/>
      <c r="B51" s="238" t="n"/>
      <c r="C51" s="238" t="n"/>
      <c r="D51" s="238" t="n"/>
      <c r="E51" s="238" t="n"/>
      <c r="F51" s="238" t="n"/>
      <c r="G51" s="238" t="n"/>
    </row>
    <row r="52" ht="15" customHeight="1" s="123">
      <c r="A52" s="238" t="n"/>
      <c r="B52" s="238" t="n"/>
      <c r="C52" s="238" t="n"/>
      <c r="D52" s="238" t="n"/>
      <c r="E52" s="238" t="n"/>
      <c r="F52" s="238" t="n"/>
      <c r="G52" s="238" t="n"/>
    </row>
    <row r="53" ht="15" customHeight="1" s="123">
      <c r="A53" s="238" t="n"/>
      <c r="B53" s="238" t="n"/>
      <c r="C53" s="238" t="n"/>
      <c r="D53" s="238" t="n"/>
      <c r="E53" s="238" t="n"/>
      <c r="F53" s="238" t="n"/>
      <c r="G53" s="238" t="n"/>
    </row>
    <row r="54" ht="15" customHeight="1" s="123">
      <c r="A54" s="238" t="n"/>
      <c r="B54" s="238" t="n"/>
      <c r="C54" s="238" t="n"/>
      <c r="D54" s="238" t="n"/>
      <c r="E54" s="238" t="n"/>
      <c r="F54" s="238" t="n"/>
      <c r="G54" s="238" t="n"/>
    </row>
    <row r="55" ht="15" customHeight="1" s="123">
      <c r="A55" s="238" t="n"/>
      <c r="B55" s="238" t="n"/>
      <c r="C55" s="238" t="n"/>
      <c r="D55" s="238" t="n"/>
      <c r="E55" s="238" t="n"/>
      <c r="F55" s="238" t="n"/>
      <c r="G55" s="238" t="n"/>
    </row>
    <row r="56" ht="15" customHeight="1" s="123">
      <c r="A56" s="238" t="n"/>
      <c r="B56" s="238" t="n"/>
      <c r="C56" s="238" t="n"/>
      <c r="D56" s="238" t="n"/>
      <c r="E56" s="238" t="n"/>
      <c r="F56" s="238" t="n"/>
      <c r="G56" s="238" t="n"/>
    </row>
    <row r="57" ht="15" customHeight="1" s="123">
      <c r="A57" s="238" t="n"/>
      <c r="B57" s="238" t="n"/>
      <c r="C57" s="238" t="n"/>
      <c r="D57" s="238" t="n"/>
      <c r="E57" s="238" t="n"/>
      <c r="F57" s="238" t="n"/>
      <c r="G57" s="238" t="n"/>
    </row>
    <row r="58" ht="15" customHeight="1" s="123">
      <c r="A58" s="238" t="n"/>
      <c r="B58" s="238" t="n"/>
      <c r="C58" s="238" t="n"/>
      <c r="D58" s="238" t="n"/>
      <c r="E58" s="238" t="n"/>
      <c r="F58" s="238" t="n"/>
      <c r="G58" s="238" t="n"/>
    </row>
    <row r="59" ht="15" customHeight="1" s="123">
      <c r="A59" s="238" t="n"/>
      <c r="B59" s="238" t="n"/>
      <c r="C59" s="238" t="n"/>
      <c r="D59" s="238" t="n"/>
      <c r="E59" s="238" t="n"/>
      <c r="F59" s="238" t="n"/>
      <c r="G59" s="238" t="n"/>
    </row>
  </sheetData>
  <mergeCells count="6">
    <mergeCell ref="A26:B26"/>
    <mergeCell ref="A1:G1"/>
    <mergeCell ref="A2:G2"/>
    <mergeCell ref="A29:G29"/>
    <mergeCell ref="A28:G28"/>
    <mergeCell ref="A34:B3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484375" defaultRowHeight="15" zeroHeight="0" outlineLevelRow="0"/>
  <cols>
    <col width="55" customWidth="1" style="122" min="1" max="1"/>
  </cols>
  <sheetData>
    <row r="1" ht="17.25" customHeight="1" s="123">
      <c r="A1" s="243" t="inlineStr">
        <is>
          <t>📷 Ticket Cena — Mesón El Risco del Águila (25/03/2026)</t>
        </is>
      </c>
    </row>
    <row r="2" ht="15" customHeight="1" s="123">
      <c r="A2" s="244" t="inlineStr">
        <is>
          <t>Importe: 147,43 €</t>
        </is>
      </c>
    </row>
    <row r="4" ht="409.5" customHeight="1" s="12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484375" defaultRowHeight="15" zeroHeight="0" outlineLevelRow="0"/>
  <cols>
    <col width="80" customWidth="1" style="122" min="1" max="1"/>
  </cols>
  <sheetData>
    <row r="1" ht="17.25" customHeight="1" s="123">
      <c r="A1" s="243" t="inlineStr">
        <is>
          <t>📷 Tickets Compra — Carnicería Las Navas + Lupa (25/04/2026)</t>
        </is>
      </c>
    </row>
    <row r="2" ht="15" customHeight="1" s="123">
      <c r="A2" s="244" t="inlineStr">
        <is>
          <t>Carnicería: 58,03 €  |  Lupa: 66,08 €  |  Total: 124,11 €</t>
        </is>
      </c>
    </row>
    <row r="4" ht="379.5" customHeight="1" s="12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5" customWidth="1" style="122" min="1" max="1"/>
  </cols>
  <sheetData>
    <row r="1" ht="15.75" customHeight="1" s="123">
      <c r="A1" s="245" t="inlineStr">
        <is>
          <t>📷 Ticket Papelería — Global Soluciones Gráficas SL (22/05/2026)</t>
        </is>
      </c>
    </row>
    <row r="2" ht="15" customHeight="1" s="123">
      <c r="A2" s="246" t="inlineStr">
        <is>
          <t>Importe: 30,00 €  |  Base imp.: 24,79 €  |  IVA (21%): 5,21 €  |  Factura: FT 0002/064504</t>
        </is>
      </c>
    </row>
    <row r="4" ht="379.5" customHeight="1" s="12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122" min="1" max="1"/>
    <col width="20" customWidth="1" style="122" min="2" max="2"/>
  </cols>
  <sheetData>
    <row r="1" ht="15" customHeight="1" s="123">
      <c r="A1" s="247" t="inlineStr">
        <is>
          <t>FACTURA - ENTRADA CORRIDA DE TOROS</t>
        </is>
      </c>
    </row>
    <row r="3" ht="15" customHeight="1" s="123">
      <c r="A3" s="122" t="inlineStr">
        <is>
          <t>Fecha:</t>
        </is>
      </c>
      <c r="B3" s="122" t="inlineStr">
        <is>
          <t>15/06/2026</t>
        </is>
      </c>
    </row>
    <row r="4" ht="15" customHeight="1" s="123">
      <c r="A4" s="122" t="inlineStr">
        <is>
          <t>Email:</t>
        </is>
      </c>
      <c r="B4" s="122" t="inlineStr">
        <is>
          <t>garcia1701@gmail.com</t>
        </is>
      </c>
    </row>
    <row r="5" ht="15" customHeight="1" s="123">
      <c r="A5" s="122" t="inlineStr">
        <is>
          <t>Localizador:</t>
        </is>
      </c>
      <c r="B5" s="122" t="inlineStr">
        <is>
          <t>GP020030</t>
        </is>
      </c>
    </row>
    <row r="7" ht="15" customHeight="1" s="123">
      <c r="A7" s="246" t="inlineStr">
        <is>
          <t>EVENTO</t>
        </is>
      </c>
    </row>
    <row r="8" ht="15" customHeight="1" s="123">
      <c r="A8" s="122" t="inlineStr">
        <is>
          <t>Tipo: Corrida de Toros</t>
        </is>
      </c>
    </row>
    <row r="9" ht="15" customHeight="1" s="123">
      <c r="A9" s="122" t="inlineStr">
        <is>
          <t>Fecha: Sábado, 20 de junio de 2026, 19:00h</t>
        </is>
      </c>
    </row>
    <row r="10" ht="15" customHeight="1" s="123">
      <c r="A10" s="122" t="inlineStr">
        <is>
          <t>Lugar: Plaza de Toros de Ávila</t>
        </is>
      </c>
    </row>
    <row r="11" ht="15" customHeight="1" s="123">
      <c r="A11" s="122" t="inlineStr">
        <is>
          <t>Dirección: Carretera Burgohondo, 13</t>
        </is>
      </c>
    </row>
    <row r="13" ht="15" customHeight="1" s="123">
      <c r="A13" s="246" t="inlineStr">
        <is>
          <t>ENTRADAS</t>
        </is>
      </c>
    </row>
    <row r="14" ht="15" customHeight="1" s="123">
      <c r="A14" s="122" t="inlineStr">
        <is>
          <t>Cantidad: 8 entradas</t>
        </is>
      </c>
    </row>
    <row r="15" ht="15" customHeight="1" s="123">
      <c r="A15" s="122" t="inlineStr">
        <is>
          <t>Tendido: Tendido 9, Fila 12</t>
        </is>
      </c>
    </row>
    <row r="16" ht="15" customHeight="1" s="123">
      <c r="A16" s="122" t="inlineStr">
        <is>
          <t>Asientos: 16, 17, 18, 19, 20, 21, 22, 23</t>
        </is>
      </c>
    </row>
    <row r="17" ht="15" customHeight="1" s="123">
      <c r="A17" s="122" t="inlineStr">
        <is>
          <t>Tarifa: GENERAL - 35,00€ c/u</t>
        </is>
      </c>
    </row>
    <row r="19" ht="15" customHeight="1" s="123">
      <c r="A19" s="246" t="inlineStr">
        <is>
          <t>RESUMEN ECONÓMICO</t>
        </is>
      </c>
    </row>
    <row r="20" ht="15" customHeight="1" s="123">
      <c r="A20" s="122" t="inlineStr">
        <is>
          <t>Precio base (8 x 35€):</t>
        </is>
      </c>
      <c r="B20" s="122" t="n">
        <v>280</v>
      </c>
    </row>
    <row r="21" ht="15" customHeight="1" s="123">
      <c r="A21" s="122" t="inlineStr">
        <is>
          <t>Gastos de gestión:</t>
        </is>
      </c>
      <c r="B21" s="122" t="n">
        <v>28</v>
      </c>
    </row>
    <row r="22" ht="15" customHeight="1" s="123">
      <c r="A22" s="248" t="inlineStr">
        <is>
          <t>TOTAL:</t>
        </is>
      </c>
      <c r="B22" s="248" t="n">
        <v>308</v>
      </c>
    </row>
    <row r="24" ht="15" customHeight="1" s="123">
      <c r="A24" s="122" t="inlineStr">
        <is>
          <t>Número de Pedido: 2306n45A91UW</t>
        </is>
      </c>
    </row>
    <row r="25" ht="15" customHeight="1" s="123">
      <c r="A25" s="122" t="inlineStr">
        <is>
          <t>Autorización: 355901</t>
        </is>
      </c>
    </row>
    <row r="26" ht="15" customHeight="1" s="123">
      <c r="A26" s="122" t="inlineStr">
        <is>
          <t>Comercio: 347434433-001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2026-04-11T23:18:30Z</dcterms:created>
  <dcterms:modified xmlns:dcterms="http://purl.org/dc/terms/" xmlns:xsi="http://www.w3.org/2001/XMLSchema-instance" xsi:type="dcterms:W3CDTF">2026-09-22T19:25:15Z</dcterms:modified>
  <cp:lastModifiedBy>Usuario</cp:lastModifiedBy>
  <cp:revision>0</cp:revision>
</cp:coreProperties>
</file>